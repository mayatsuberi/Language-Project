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AHLIZ/Desktop/Language-Project-main/results/"/>
    </mc:Choice>
  </mc:AlternateContent>
  <xr:revisionPtr revIDLastSave="0" documentId="8_{4C1CD97A-23E9-F748-B780-A1F85C3C32D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tagging" sheetId="1" r:id="rId1"/>
    <sheet name="NYU to Reg" sheetId="2" r:id="rId2"/>
    <sheet name="Sheet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9" i="3" l="1"/>
  <c r="B209" i="3"/>
  <c r="D208" i="3"/>
  <c r="B208" i="3"/>
  <c r="D207" i="3"/>
  <c r="B207" i="3"/>
  <c r="D206" i="3"/>
  <c r="B206" i="3"/>
  <c r="D205" i="3"/>
  <c r="B205" i="3"/>
  <c r="D204" i="3"/>
  <c r="B204" i="3"/>
  <c r="D203" i="3"/>
  <c r="B203" i="3"/>
  <c r="D202" i="3"/>
  <c r="B202" i="3"/>
  <c r="D201" i="3"/>
  <c r="B201" i="3"/>
  <c r="D200" i="3"/>
  <c r="B200" i="3"/>
  <c r="D199" i="3"/>
  <c r="B199" i="3"/>
  <c r="D198" i="3"/>
  <c r="B198" i="3"/>
  <c r="D197" i="3"/>
  <c r="B197" i="3"/>
  <c r="D196" i="3"/>
  <c r="B196" i="3"/>
  <c r="D195" i="3"/>
  <c r="B195" i="3"/>
  <c r="D194" i="3"/>
  <c r="B194" i="3"/>
  <c r="D193" i="3"/>
  <c r="B193" i="3"/>
  <c r="D192" i="3"/>
  <c r="B192" i="3"/>
  <c r="D191" i="3"/>
  <c r="C191" i="3"/>
  <c r="B191" i="3"/>
  <c r="D190" i="3"/>
  <c r="B190" i="3"/>
  <c r="D189" i="3"/>
  <c r="B189" i="3"/>
  <c r="D188" i="3"/>
  <c r="B188" i="3"/>
  <c r="D187" i="3"/>
  <c r="B187" i="3"/>
  <c r="D186" i="3"/>
  <c r="B186" i="3"/>
  <c r="D185" i="3"/>
  <c r="B185" i="3"/>
  <c r="D184" i="3"/>
  <c r="B184" i="3"/>
  <c r="D183" i="3"/>
  <c r="B183" i="3"/>
  <c r="D182" i="3"/>
  <c r="B182" i="3"/>
  <c r="D181" i="3"/>
  <c r="B181" i="3"/>
  <c r="D180" i="3"/>
  <c r="B180" i="3"/>
  <c r="D179" i="3"/>
  <c r="B179" i="3"/>
  <c r="D178" i="3"/>
  <c r="B178" i="3"/>
  <c r="D177" i="3"/>
  <c r="B177" i="3"/>
  <c r="D176" i="3"/>
  <c r="B176" i="3"/>
  <c r="D175" i="3"/>
  <c r="B175" i="3"/>
  <c r="D174" i="3"/>
  <c r="B174" i="3"/>
  <c r="D173" i="3"/>
  <c r="B173" i="3"/>
  <c r="D172" i="3"/>
  <c r="B172" i="3"/>
  <c r="D171" i="3"/>
  <c r="B171" i="3"/>
  <c r="D170" i="3"/>
  <c r="B170" i="3"/>
  <c r="D169" i="3"/>
  <c r="B169" i="3"/>
  <c r="D168" i="3"/>
  <c r="B168" i="3"/>
  <c r="D167" i="3"/>
  <c r="B167" i="3"/>
  <c r="D166" i="3"/>
  <c r="B166" i="3"/>
  <c r="D165" i="3"/>
  <c r="B165" i="3"/>
  <c r="D164" i="3"/>
  <c r="B164" i="3"/>
  <c r="D163" i="3"/>
  <c r="B163" i="3"/>
  <c r="D162" i="3"/>
  <c r="B162" i="3"/>
  <c r="D161" i="3"/>
  <c r="B161" i="3"/>
  <c r="D160" i="3"/>
  <c r="B160" i="3"/>
  <c r="D159" i="3"/>
  <c r="B159" i="3"/>
  <c r="D158" i="3"/>
  <c r="B158" i="3"/>
  <c r="D157" i="3"/>
  <c r="B157" i="3"/>
  <c r="D156" i="3"/>
  <c r="B156" i="3"/>
  <c r="D155" i="3"/>
  <c r="B155" i="3"/>
  <c r="D154" i="3"/>
  <c r="B154" i="3"/>
  <c r="D153" i="3"/>
  <c r="C153" i="3"/>
  <c r="B153" i="3"/>
  <c r="D152" i="3"/>
  <c r="B152" i="3"/>
  <c r="D151" i="3"/>
  <c r="B151" i="3"/>
  <c r="D150" i="3"/>
  <c r="B150" i="3"/>
  <c r="D149" i="3"/>
  <c r="B149" i="3"/>
  <c r="D148" i="3"/>
  <c r="B148" i="3"/>
  <c r="D147" i="3"/>
  <c r="B147" i="3"/>
  <c r="D146" i="3"/>
  <c r="B146" i="3"/>
  <c r="D145" i="3"/>
  <c r="B145" i="3"/>
  <c r="D144" i="3"/>
  <c r="B144" i="3"/>
  <c r="D143" i="3"/>
  <c r="B143" i="3"/>
  <c r="D142" i="3"/>
  <c r="B142" i="3"/>
  <c r="D141" i="3"/>
  <c r="B141" i="3"/>
  <c r="D140" i="3"/>
  <c r="B140" i="3"/>
  <c r="D139" i="3"/>
  <c r="B139" i="3"/>
  <c r="D138" i="3"/>
  <c r="B138" i="3"/>
  <c r="D137" i="3"/>
  <c r="B137" i="3"/>
  <c r="D136" i="3"/>
  <c r="B136" i="3"/>
  <c r="D135" i="3"/>
  <c r="B135" i="3"/>
  <c r="D134" i="3"/>
  <c r="B134" i="3"/>
  <c r="D133" i="3"/>
  <c r="B133" i="3"/>
  <c r="D132" i="3"/>
  <c r="B132" i="3"/>
  <c r="D131" i="3"/>
  <c r="B131" i="3"/>
  <c r="D130" i="3"/>
  <c r="B130" i="3"/>
  <c r="D129" i="3"/>
  <c r="B129" i="3"/>
  <c r="D128" i="3"/>
  <c r="B128" i="3"/>
  <c r="D127" i="3"/>
  <c r="B127" i="3"/>
  <c r="D126" i="3"/>
  <c r="B126" i="3"/>
  <c r="D125" i="3"/>
  <c r="B125" i="3"/>
  <c r="D124" i="3"/>
  <c r="B124" i="3"/>
  <c r="D123" i="3"/>
  <c r="B123" i="3"/>
  <c r="D122" i="3"/>
  <c r="B122" i="3"/>
  <c r="D121" i="3"/>
  <c r="B121" i="3"/>
  <c r="D120" i="3"/>
  <c r="B120" i="3"/>
  <c r="D119" i="3"/>
  <c r="B119" i="3"/>
  <c r="D118" i="3"/>
  <c r="B118" i="3"/>
  <c r="D117" i="3"/>
  <c r="B117" i="3"/>
  <c r="D116" i="3"/>
  <c r="B116" i="3"/>
  <c r="D115" i="3"/>
  <c r="B115" i="3"/>
  <c r="D114" i="3"/>
  <c r="B114" i="3"/>
  <c r="D113" i="3"/>
  <c r="B113" i="3"/>
  <c r="D112" i="3"/>
  <c r="B112" i="3"/>
  <c r="D111" i="3"/>
  <c r="B111" i="3"/>
  <c r="D110" i="3"/>
  <c r="B110" i="3"/>
  <c r="D109" i="3"/>
  <c r="B109" i="3"/>
  <c r="D108" i="3"/>
  <c r="B108" i="3"/>
  <c r="D107" i="3"/>
  <c r="B107" i="3"/>
  <c r="D106" i="3"/>
  <c r="B106" i="3"/>
  <c r="D105" i="3"/>
  <c r="B105" i="3"/>
  <c r="D104" i="3"/>
  <c r="B104" i="3"/>
  <c r="D103" i="3"/>
  <c r="B103" i="3"/>
  <c r="D102" i="3"/>
  <c r="B102" i="3"/>
  <c r="D101" i="3"/>
  <c r="B101" i="3"/>
  <c r="D100" i="3"/>
  <c r="B100" i="3"/>
  <c r="D99" i="3"/>
  <c r="B99" i="3"/>
  <c r="D98" i="3"/>
  <c r="B98" i="3"/>
  <c r="D97" i="3"/>
  <c r="B97" i="3"/>
  <c r="D96" i="3"/>
  <c r="B96" i="3"/>
  <c r="D95" i="3"/>
  <c r="B95" i="3"/>
  <c r="D94" i="3"/>
  <c r="B94" i="3"/>
  <c r="D93" i="3"/>
  <c r="B93" i="3"/>
  <c r="D92" i="3"/>
  <c r="B92" i="3"/>
  <c r="D91" i="3"/>
  <c r="B91" i="3"/>
  <c r="D90" i="3"/>
  <c r="B90" i="3"/>
  <c r="D89" i="3"/>
  <c r="B89" i="3"/>
  <c r="D88" i="3"/>
  <c r="B88" i="3"/>
  <c r="D87" i="3"/>
  <c r="B87" i="3"/>
  <c r="D86" i="3"/>
  <c r="B86" i="3"/>
  <c r="D85" i="3"/>
  <c r="B85" i="3"/>
  <c r="D84" i="3"/>
  <c r="B84" i="3"/>
  <c r="D83" i="3"/>
  <c r="B83" i="3"/>
  <c r="D82" i="3"/>
  <c r="B82" i="3"/>
  <c r="D81" i="3"/>
  <c r="B81" i="3"/>
  <c r="D80" i="3"/>
  <c r="B80" i="3"/>
  <c r="D79" i="3"/>
  <c r="B79" i="3"/>
  <c r="D78" i="3"/>
  <c r="B78" i="3"/>
  <c r="D77" i="3"/>
  <c r="B77" i="3"/>
  <c r="D76" i="3"/>
  <c r="B76" i="3"/>
  <c r="D75" i="3"/>
  <c r="B75" i="3"/>
  <c r="D74" i="3"/>
  <c r="B74" i="3"/>
  <c r="D73" i="3"/>
  <c r="B73" i="3"/>
  <c r="D72" i="3"/>
  <c r="B72" i="3"/>
  <c r="D71" i="3"/>
  <c r="B71" i="3"/>
  <c r="D70" i="3"/>
  <c r="B70" i="3"/>
  <c r="D69" i="3"/>
  <c r="B69" i="3"/>
  <c r="D68" i="3"/>
  <c r="B68" i="3"/>
  <c r="D67" i="3"/>
  <c r="B67" i="3"/>
  <c r="D66" i="3"/>
  <c r="B66" i="3"/>
  <c r="D65" i="3"/>
  <c r="B65" i="3"/>
  <c r="D64" i="3"/>
  <c r="B64" i="3"/>
  <c r="D63" i="3"/>
  <c r="B63" i="3"/>
  <c r="D62" i="3"/>
  <c r="B62" i="3"/>
  <c r="D61" i="3"/>
  <c r="B61" i="3"/>
  <c r="D60" i="3"/>
  <c r="B60" i="3"/>
  <c r="D59" i="3"/>
  <c r="B59" i="3"/>
  <c r="D58" i="3"/>
  <c r="B58" i="3"/>
  <c r="D57" i="3"/>
  <c r="B57" i="3"/>
  <c r="D56" i="3"/>
  <c r="B56" i="3"/>
  <c r="D55" i="3"/>
  <c r="B55" i="3"/>
  <c r="D54" i="3"/>
  <c r="B54" i="3"/>
  <c r="D53" i="3"/>
  <c r="B53" i="3"/>
  <c r="D52" i="3"/>
  <c r="B52" i="3"/>
  <c r="D51" i="3"/>
  <c r="B51" i="3"/>
  <c r="D50" i="3"/>
  <c r="B50" i="3"/>
  <c r="D49" i="3"/>
  <c r="B49" i="3"/>
  <c r="D48" i="3"/>
  <c r="B48" i="3"/>
  <c r="D47" i="3"/>
  <c r="B47" i="3"/>
  <c r="D46" i="3"/>
  <c r="B46" i="3"/>
  <c r="D45" i="3"/>
  <c r="B45" i="3"/>
  <c r="D44" i="3"/>
  <c r="B44" i="3"/>
  <c r="D43" i="3"/>
  <c r="B43" i="3"/>
  <c r="D42" i="3"/>
  <c r="B42" i="3"/>
  <c r="D41" i="3"/>
  <c r="B41" i="3"/>
  <c r="D40" i="3"/>
  <c r="B40" i="3"/>
  <c r="D39" i="3"/>
  <c r="B39" i="3"/>
  <c r="D38" i="3"/>
  <c r="B38" i="3"/>
  <c r="D37" i="3"/>
  <c r="B37" i="3"/>
  <c r="D36" i="3"/>
  <c r="B36" i="3"/>
  <c r="D35" i="3"/>
  <c r="B35" i="3"/>
  <c r="D34" i="3"/>
  <c r="B34" i="3"/>
  <c r="D33" i="3"/>
  <c r="B33" i="3"/>
  <c r="D32" i="3"/>
  <c r="B32" i="3"/>
  <c r="D31" i="3"/>
  <c r="B31" i="3"/>
  <c r="D30" i="3"/>
  <c r="B30" i="3"/>
  <c r="D29" i="3"/>
  <c r="B29" i="3"/>
  <c r="D28" i="3"/>
  <c r="B28" i="3"/>
  <c r="D27" i="3"/>
  <c r="B27" i="3"/>
  <c r="D26" i="3"/>
  <c r="B26" i="3"/>
  <c r="D25" i="3"/>
  <c r="B25" i="3"/>
  <c r="D24" i="3"/>
  <c r="B24" i="3"/>
  <c r="D23" i="3"/>
  <c r="B23" i="3"/>
  <c r="D22" i="3"/>
  <c r="B22" i="3"/>
  <c r="D21" i="3"/>
  <c r="B21" i="3"/>
  <c r="D20" i="3"/>
  <c r="B20" i="3"/>
  <c r="D19" i="3"/>
  <c r="B19" i="3"/>
  <c r="D18" i="3"/>
  <c r="B18" i="3"/>
  <c r="D17" i="3"/>
  <c r="B17" i="3"/>
  <c r="D16" i="3"/>
  <c r="B16" i="3"/>
  <c r="D15" i="3"/>
  <c r="B15" i="3"/>
  <c r="D14" i="3"/>
  <c r="B14" i="3"/>
  <c r="D13" i="3"/>
  <c r="B13" i="3"/>
  <c r="D12" i="3"/>
  <c r="B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D2" i="3"/>
  <c r="B2" i="3"/>
  <c r="C209" i="3" l="1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18" i="3"/>
  <c r="C117" i="3"/>
  <c r="C116" i="3"/>
  <c r="C102" i="3"/>
  <c r="C100" i="3"/>
  <c r="C98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97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1" i="3"/>
  <c r="C99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2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4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3" i="3"/>
</calcChain>
</file>

<file path=xl/sharedStrings.xml><?xml version="1.0" encoding="utf-8"?>
<sst xmlns="http://schemas.openxmlformats.org/spreadsheetml/2006/main" count="901" uniqueCount="640">
  <si>
    <t>Podcast Subject</t>
  </si>
  <si>
    <t>Electrode</t>
  </si>
  <si>
    <t>Full Name</t>
  </si>
  <si>
    <t>Peak Time</t>
  </si>
  <si>
    <t>Peak Value</t>
  </si>
  <si>
    <t>NYU Subject</t>
  </si>
  <si>
    <t>Location</t>
  </si>
  <si>
    <t>Stream</t>
  </si>
  <si>
    <t>position in stream</t>
  </si>
  <si>
    <t>confidence</t>
  </si>
  <si>
    <t>comments</t>
  </si>
  <si>
    <t>general comments</t>
  </si>
  <si>
    <t>sub-02</t>
  </si>
  <si>
    <t>EEGPO_02REF</t>
  </si>
  <si>
    <t>662_EEGPO_02REF</t>
  </si>
  <si>
    <t>position in stream scored from 1-7 in dorsal/ventral 8-10 after convergence and before motor strip. 15 is outside expected areas</t>
  </si>
  <si>
    <t>sub-03</t>
  </si>
  <si>
    <t>LGA10</t>
  </si>
  <si>
    <t>717_LGA10</t>
  </si>
  <si>
    <t>IFG Broca</t>
  </si>
  <si>
    <t xml:space="preserve">M </t>
  </si>
  <si>
    <t>borderline MFG</t>
  </si>
  <si>
    <t>locatio = gyrus/sulcus, with a/m/g for anterior/middle/posterior respectively</t>
  </si>
  <si>
    <t>LGA18</t>
  </si>
  <si>
    <t>717_LGA18</t>
  </si>
  <si>
    <t>pars orbitalis</t>
  </si>
  <si>
    <t>stream - either PA - primary auditory (before divergence), V - ventral, D - dorsal, M - merge (IFG) and PM - post merge (between broca/insula and primary motor cortex)</t>
  </si>
  <si>
    <t>LGA27</t>
  </si>
  <si>
    <t>717_LGA27</t>
  </si>
  <si>
    <t>IFG Broca/ aSTG</t>
  </si>
  <si>
    <t>M/V</t>
  </si>
  <si>
    <t>on the sylvian fissure in the coronal, in the axial a little more STG</t>
  </si>
  <si>
    <t>LGA32</t>
  </si>
  <si>
    <t>717_LGA32</t>
  </si>
  <si>
    <t>Something's wrong, looks extra-axial</t>
  </si>
  <si>
    <t>LGA36</t>
  </si>
  <si>
    <t>717_LGA36</t>
  </si>
  <si>
    <t>aSTG/STS</t>
  </si>
  <si>
    <t>V</t>
  </si>
  <si>
    <t>LGA37</t>
  </si>
  <si>
    <t>717_LGA37</t>
  </si>
  <si>
    <t>aSTG</t>
  </si>
  <si>
    <t>LGA38</t>
  </si>
  <si>
    <t>717_LGA38</t>
  </si>
  <si>
    <t xml:space="preserve">mSTG </t>
  </si>
  <si>
    <t>PA/V</t>
  </si>
  <si>
    <t>Borderline too far outside of brain</t>
  </si>
  <si>
    <t>LGA39</t>
  </si>
  <si>
    <t>717_LGA39</t>
  </si>
  <si>
    <t>m/pSTG</t>
  </si>
  <si>
    <t>PA</t>
  </si>
  <si>
    <t>Outside of the brain</t>
  </si>
  <si>
    <t>LGA4</t>
  </si>
  <si>
    <t>717_LGA4</t>
  </si>
  <si>
    <t>MFG</t>
  </si>
  <si>
    <t>PM</t>
  </si>
  <si>
    <t>possibly semantic control</t>
  </si>
  <si>
    <t>LGA44</t>
  </si>
  <si>
    <t>717_LGA44</t>
  </si>
  <si>
    <t>aMTG</t>
  </si>
  <si>
    <t>LGA46</t>
  </si>
  <si>
    <t>717_LGA46</t>
  </si>
  <si>
    <t>mMTG/STS</t>
  </si>
  <si>
    <t>questionable position in image</t>
  </si>
  <si>
    <t>LGA47</t>
  </si>
  <si>
    <t>717_LGA47</t>
  </si>
  <si>
    <t>pMTG</t>
  </si>
  <si>
    <t>above word area, not clear on position in language streams</t>
  </si>
  <si>
    <t>LGA9</t>
  </si>
  <si>
    <t>717_LGA9</t>
  </si>
  <si>
    <t>aIFG</t>
  </si>
  <si>
    <t>M</t>
  </si>
  <si>
    <t>a little anterior to Broca, possibly SCN</t>
  </si>
  <si>
    <t>LGB108</t>
  </si>
  <si>
    <t>717_LGB108</t>
  </si>
  <si>
    <t>IFG Broca / Sylvian fissure/ aSTG</t>
  </si>
  <si>
    <t>pars opercularis</t>
  </si>
  <si>
    <t>LGB112</t>
  </si>
  <si>
    <t>717_LGB112</t>
  </si>
  <si>
    <t>a-mSTG</t>
  </si>
  <si>
    <t>LGB113</t>
  </si>
  <si>
    <t>717_LGB113</t>
  </si>
  <si>
    <t>STS</t>
  </si>
  <si>
    <t>V/PA</t>
  </si>
  <si>
    <t>a little more towards PA</t>
  </si>
  <si>
    <t>LGB114</t>
  </si>
  <si>
    <t>717_LGB114</t>
  </si>
  <si>
    <t>m-PSTG</t>
  </si>
  <si>
    <t>LGB116</t>
  </si>
  <si>
    <t>717_LGB116</t>
  </si>
  <si>
    <t>a-mMTG</t>
  </si>
  <si>
    <t>LGB117</t>
  </si>
  <si>
    <t>717_LGB117</t>
  </si>
  <si>
    <t>mMTG</t>
  </si>
  <si>
    <t>LGB119</t>
  </si>
  <si>
    <t>717_LGB119</t>
  </si>
  <si>
    <t>In Timna's file looks STS, in MRI looks completely MTG</t>
  </si>
  <si>
    <t>LGB120</t>
  </si>
  <si>
    <t>717_LGB120</t>
  </si>
  <si>
    <t>STG/STS</t>
  </si>
  <si>
    <t>PA/D/V</t>
  </si>
  <si>
    <t>sul</t>
  </si>
  <si>
    <t>LGB121</t>
  </si>
  <si>
    <t>717_LGB121</t>
  </si>
  <si>
    <t>mMTG/STG</t>
  </si>
  <si>
    <t>low</t>
  </si>
  <si>
    <t>weird sulci, possibly wide STG?</t>
  </si>
  <si>
    <t>LGB122</t>
  </si>
  <si>
    <t>717_LGB122</t>
  </si>
  <si>
    <t>LGB126</t>
  </si>
  <si>
    <t>717_LGB126</t>
  </si>
  <si>
    <t>m-pSTS</t>
  </si>
  <si>
    <t>PA/?</t>
  </si>
  <si>
    <t>LGB66</t>
  </si>
  <si>
    <t>717_LGB66</t>
  </si>
  <si>
    <t>Out</t>
  </si>
  <si>
    <t>SCS?</t>
  </si>
  <si>
    <t>LGB71</t>
  </si>
  <si>
    <t>717_LGB71</t>
  </si>
  <si>
    <t>IFG high</t>
  </si>
  <si>
    <t>mid</t>
  </si>
  <si>
    <t>sulcus above par triangularis</t>
  </si>
  <si>
    <t>LGB74</t>
  </si>
  <si>
    <t>717_LGB74</t>
  </si>
  <si>
    <t>pars orbitalis high</t>
  </si>
  <si>
    <t>LGB75</t>
  </si>
  <si>
    <t>717_LGB75</t>
  </si>
  <si>
    <t>IFG Broca high</t>
  </si>
  <si>
    <t>pars triangularis high</t>
  </si>
  <si>
    <t>LGB78</t>
  </si>
  <si>
    <t>717_LGB78</t>
  </si>
  <si>
    <t>high</t>
  </si>
  <si>
    <t>LGB79</t>
  </si>
  <si>
    <t>717_LGB79</t>
  </si>
  <si>
    <t>LGB80</t>
  </si>
  <si>
    <t>717_LGB80</t>
  </si>
  <si>
    <t>LGB82</t>
  </si>
  <si>
    <t>717_LGB82</t>
  </si>
  <si>
    <t>LGB85</t>
  </si>
  <si>
    <t>717_LGB85</t>
  </si>
  <si>
    <t>IFG</t>
  </si>
  <si>
    <t>LGB86</t>
  </si>
  <si>
    <t>717_LGB86</t>
  </si>
  <si>
    <t>M/PM</t>
  </si>
  <si>
    <t>Pars orbitalis</t>
  </si>
  <si>
    <t>LGB87</t>
  </si>
  <si>
    <t>717_LGB87</t>
  </si>
  <si>
    <t>Pars triangularis</t>
  </si>
  <si>
    <t>LGB88</t>
  </si>
  <si>
    <t>717_LGB88</t>
  </si>
  <si>
    <t>LGB95</t>
  </si>
  <si>
    <t>717_LGB95</t>
  </si>
  <si>
    <t>close to sulcus</t>
  </si>
  <si>
    <t>LOF4</t>
  </si>
  <si>
    <t>717_LOF4</t>
  </si>
  <si>
    <t>anterior sylvian fissure-orbitofrontal cortex</t>
  </si>
  <si>
    <t>?</t>
  </si>
  <si>
    <t>low encoding, could be from several regions</t>
  </si>
  <si>
    <t>sub-04</t>
  </si>
  <si>
    <t>LDII7</t>
  </si>
  <si>
    <t>723_LDII7</t>
  </si>
  <si>
    <t>WM ILF tempor-occipital maybe arcuate?</t>
  </si>
  <si>
    <t>WM, not clear</t>
  </si>
  <si>
    <t>-</t>
  </si>
  <si>
    <t>looks in white matter, plot looks like mostly predication with peak ~0.2 before onset - generally these are more visual areas, and the fact that from sound there is good pre-onset prediction that then shoots down after onset could go with a semantic prediction signal being distributed  to different "spokes" and since there is no correlating signal after onset for that spoke it falls immediately after.</t>
  </si>
  <si>
    <t>LDII8</t>
  </si>
  <si>
    <t>723_LDII8</t>
  </si>
  <si>
    <t xml:space="preserve">WM ILF tempor-occipital /U fibers </t>
  </si>
  <si>
    <t>good prediction and drop after onset, see LDII7</t>
  </si>
  <si>
    <t>LDII9</t>
  </si>
  <si>
    <t>723_LDII9</t>
  </si>
  <si>
    <t>WM/ deep GM temporo-occipital junction</t>
  </si>
  <si>
    <t>LDSI10</t>
  </si>
  <si>
    <t>723_LDSI10</t>
  </si>
  <si>
    <t>WM/ deep GM-SMG-temporo-parieto-occipital junction</t>
  </si>
  <si>
    <t>D/ WM/ -</t>
  </si>
  <si>
    <t>2-3/15</t>
  </si>
  <si>
    <t>LDSI9</t>
  </si>
  <si>
    <t>723_LDSI9</t>
  </si>
  <si>
    <t>WM/ deep GM pSTG-SMG-temporo-parieto-occipital junction</t>
  </si>
  <si>
    <t>LIF3</t>
  </si>
  <si>
    <t>723_LIF3</t>
  </si>
  <si>
    <t>High IFG</t>
  </si>
  <si>
    <t>M-PM</t>
  </si>
  <si>
    <t>LPT1</t>
  </si>
  <si>
    <t>723_LPT1</t>
  </si>
  <si>
    <t>outside skull</t>
  </si>
  <si>
    <t>low temporo-occipital</t>
  </si>
  <si>
    <t>bad encoding anyways</t>
  </si>
  <si>
    <t>LPT2</t>
  </si>
  <si>
    <t>723_LPT2</t>
  </si>
  <si>
    <t>LSF12</t>
  </si>
  <si>
    <t>723_LSF12</t>
  </si>
  <si>
    <t>occipiparietal</t>
  </si>
  <si>
    <t>LST1</t>
  </si>
  <si>
    <t>723_LST1</t>
  </si>
  <si>
    <t>IFG Broca close to motor</t>
  </si>
  <si>
    <t>LST10</t>
  </si>
  <si>
    <t>723_LST10</t>
  </si>
  <si>
    <t>way outside skull</t>
  </si>
  <si>
    <t>posterior and below AG</t>
  </si>
  <si>
    <t>LST2</t>
  </si>
  <si>
    <t>723_LST2</t>
  </si>
  <si>
    <t>M1/premotor, low</t>
  </si>
  <si>
    <t>LST7</t>
  </si>
  <si>
    <t>723_LST7</t>
  </si>
  <si>
    <t>SMG/ perhaps a little fartherr back</t>
  </si>
  <si>
    <t>D</t>
  </si>
  <si>
    <t>almost outside skull, and not classically sPT, but does look like SMG</t>
  </si>
  <si>
    <t>LST8</t>
  </si>
  <si>
    <t>723_LST8</t>
  </si>
  <si>
    <t>borderline both AG and SMG</t>
  </si>
  <si>
    <t>D-O</t>
  </si>
  <si>
    <t>almost outside skull again</t>
  </si>
  <si>
    <t>sub-05</t>
  </si>
  <si>
    <t>GA14</t>
  </si>
  <si>
    <t>741_GA14</t>
  </si>
  <si>
    <t>GA23</t>
  </si>
  <si>
    <t>741_GA23</t>
  </si>
  <si>
    <t>GA41</t>
  </si>
  <si>
    <t>741_GA41</t>
  </si>
  <si>
    <t>GA44</t>
  </si>
  <si>
    <t>741_GA44</t>
  </si>
  <si>
    <t>GA45</t>
  </si>
  <si>
    <t>741_GA45</t>
  </si>
  <si>
    <t>GA47</t>
  </si>
  <si>
    <t>741_GA47</t>
  </si>
  <si>
    <t>GA48</t>
  </si>
  <si>
    <t>741_GA48</t>
  </si>
  <si>
    <t>GA64</t>
  </si>
  <si>
    <t>741_GA64</t>
  </si>
  <si>
    <t>sub-06</t>
  </si>
  <si>
    <t>G101</t>
  </si>
  <si>
    <t>742_G101</t>
  </si>
  <si>
    <t>G102</t>
  </si>
  <si>
    <t>742_G102</t>
  </si>
  <si>
    <t>G103</t>
  </si>
  <si>
    <t>742_G103</t>
  </si>
  <si>
    <t>G104</t>
  </si>
  <si>
    <t>742_G104</t>
  </si>
  <si>
    <t>G108</t>
  </si>
  <si>
    <t>742_G108</t>
  </si>
  <si>
    <t>G110</t>
  </si>
  <si>
    <t>742_G110</t>
  </si>
  <si>
    <t>G111</t>
  </si>
  <si>
    <t>742_G111</t>
  </si>
  <si>
    <t>G113</t>
  </si>
  <si>
    <t>742_G113</t>
  </si>
  <si>
    <t>G117</t>
  </si>
  <si>
    <t>742_G117</t>
  </si>
  <si>
    <t>G118</t>
  </si>
  <si>
    <t>742_G118</t>
  </si>
  <si>
    <t>G119</t>
  </si>
  <si>
    <t>742_G119</t>
  </si>
  <si>
    <t>G120</t>
  </si>
  <si>
    <t>742_G120</t>
  </si>
  <si>
    <t>G121</t>
  </si>
  <si>
    <t>742_G121</t>
  </si>
  <si>
    <t>G124</t>
  </si>
  <si>
    <t>742_G124</t>
  </si>
  <si>
    <t>G125</t>
  </si>
  <si>
    <t>742_G125</t>
  </si>
  <si>
    <t>G128</t>
  </si>
  <si>
    <t>742_G128</t>
  </si>
  <si>
    <t>G15</t>
  </si>
  <si>
    <t>742_G15</t>
  </si>
  <si>
    <t>G22</t>
  </si>
  <si>
    <t>742_G22</t>
  </si>
  <si>
    <t>G23</t>
  </si>
  <si>
    <t>742_G23</t>
  </si>
  <si>
    <t>G24</t>
  </si>
  <si>
    <t>742_G24</t>
  </si>
  <si>
    <t>G30</t>
  </si>
  <si>
    <t>742_G30</t>
  </si>
  <si>
    <t>G31</t>
  </si>
  <si>
    <t>742_G31</t>
  </si>
  <si>
    <t>G34</t>
  </si>
  <si>
    <t>742_G34</t>
  </si>
  <si>
    <t>G35</t>
  </si>
  <si>
    <t>742_G35</t>
  </si>
  <si>
    <t>G37</t>
  </si>
  <si>
    <t>742_G37</t>
  </si>
  <si>
    <t>G42</t>
  </si>
  <si>
    <t>742_G42</t>
  </si>
  <si>
    <t>G43</t>
  </si>
  <si>
    <t>742_G43</t>
  </si>
  <si>
    <t>G44</t>
  </si>
  <si>
    <t>742_G44</t>
  </si>
  <si>
    <t>G45</t>
  </si>
  <si>
    <t>742_G45</t>
  </si>
  <si>
    <t>G53</t>
  </si>
  <si>
    <t>742_G53</t>
  </si>
  <si>
    <t>G54</t>
  </si>
  <si>
    <t>742_G54</t>
  </si>
  <si>
    <t>G55</t>
  </si>
  <si>
    <t>742_G55</t>
  </si>
  <si>
    <t>G56</t>
  </si>
  <si>
    <t>742_G56</t>
  </si>
  <si>
    <t>G61</t>
  </si>
  <si>
    <t>742_G61</t>
  </si>
  <si>
    <t>G63</t>
  </si>
  <si>
    <t>742_G63</t>
  </si>
  <si>
    <t>G64</t>
  </si>
  <si>
    <t>742_G64</t>
  </si>
  <si>
    <t>G7</t>
  </si>
  <si>
    <t>742_G7</t>
  </si>
  <si>
    <t>G75</t>
  </si>
  <si>
    <t>742_G75</t>
  </si>
  <si>
    <t>dMF5</t>
  </si>
  <si>
    <t>742_dMF5</t>
  </si>
  <si>
    <t>dPI5</t>
  </si>
  <si>
    <t>742_dPI5</t>
  </si>
  <si>
    <t>sub-07</t>
  </si>
  <si>
    <t>G10</t>
  </si>
  <si>
    <t>743_G10</t>
  </si>
  <si>
    <t>G11</t>
  </si>
  <si>
    <t>743_G11</t>
  </si>
  <si>
    <t>G19</t>
  </si>
  <si>
    <t>743_G19</t>
  </si>
  <si>
    <t>G3</t>
  </si>
  <si>
    <t>743_G3</t>
  </si>
  <si>
    <t>743_G44</t>
  </si>
  <si>
    <t>743_G45</t>
  </si>
  <si>
    <t>G46</t>
  </si>
  <si>
    <t>743_G46</t>
  </si>
  <si>
    <t>G47</t>
  </si>
  <si>
    <t>743_G47</t>
  </si>
  <si>
    <t>G52</t>
  </si>
  <si>
    <t>743_G52</t>
  </si>
  <si>
    <t>743_G53</t>
  </si>
  <si>
    <t>743_G54</t>
  </si>
  <si>
    <t>743_G64</t>
  </si>
  <si>
    <t>sub-08</t>
  </si>
  <si>
    <t>AT1</t>
  </si>
  <si>
    <t>763_AT1</t>
  </si>
  <si>
    <t>DAI3</t>
  </si>
  <si>
    <t>763_DAI3</t>
  </si>
  <si>
    <t>DAI4</t>
  </si>
  <si>
    <t>763_DAI4</t>
  </si>
  <si>
    <t>DPI3</t>
  </si>
  <si>
    <t>763_DPI3</t>
  </si>
  <si>
    <t>DPMT7</t>
  </si>
  <si>
    <t>763_DPMT7</t>
  </si>
  <si>
    <t>DPMT8</t>
  </si>
  <si>
    <t>763_DPMT8</t>
  </si>
  <si>
    <t>763_G15</t>
  </si>
  <si>
    <t>G20</t>
  </si>
  <si>
    <t>763_G20</t>
  </si>
  <si>
    <t>G21</t>
  </si>
  <si>
    <t>763_G21</t>
  </si>
  <si>
    <t>763_G23</t>
  </si>
  <si>
    <t>763_G24</t>
  </si>
  <si>
    <t>G25</t>
  </si>
  <si>
    <t>763_G25</t>
  </si>
  <si>
    <t>763_G31</t>
  </si>
  <si>
    <t>G32</t>
  </si>
  <si>
    <t>763_G32</t>
  </si>
  <si>
    <t>G33</t>
  </si>
  <si>
    <t>763_G33</t>
  </si>
  <si>
    <t>763_G34</t>
  </si>
  <si>
    <t>sub-09</t>
  </si>
  <si>
    <t>AF6</t>
  </si>
  <si>
    <t>798_AF6</t>
  </si>
  <si>
    <t>AIT3</t>
  </si>
  <si>
    <t>798_AIT3</t>
  </si>
  <si>
    <t>DPI2</t>
  </si>
  <si>
    <t>798_DPI2</t>
  </si>
  <si>
    <t>798_DPI3</t>
  </si>
  <si>
    <t>798_G10</t>
  </si>
  <si>
    <t>G12</t>
  </si>
  <si>
    <t>798_G12</t>
  </si>
  <si>
    <t>798_G15</t>
  </si>
  <si>
    <t>G16</t>
  </si>
  <si>
    <t>798_G16</t>
  </si>
  <si>
    <t>G17</t>
  </si>
  <si>
    <t>798_G17</t>
  </si>
  <si>
    <t>G18</t>
  </si>
  <si>
    <t>798_G18</t>
  </si>
  <si>
    <t>798_G19</t>
  </si>
  <si>
    <t>798_G20</t>
  </si>
  <si>
    <t>G26</t>
  </si>
  <si>
    <t>798_G26</t>
  </si>
  <si>
    <t>G27</t>
  </si>
  <si>
    <t>798_G27</t>
  </si>
  <si>
    <t>G5</t>
  </si>
  <si>
    <t>798_G5</t>
  </si>
  <si>
    <t>798_G56</t>
  </si>
  <si>
    <t>G77</t>
  </si>
  <si>
    <t>798_G77</t>
  </si>
  <si>
    <t>G79</t>
  </si>
  <si>
    <t>798_G79</t>
  </si>
  <si>
    <t>G83</t>
  </si>
  <si>
    <t>798_G83</t>
  </si>
  <si>
    <t>G84</t>
  </si>
  <si>
    <t>798_G84</t>
  </si>
  <si>
    <t>G86</t>
  </si>
  <si>
    <t>798_G86</t>
  </si>
  <si>
    <t>G87</t>
  </si>
  <si>
    <t>798_G87</t>
  </si>
  <si>
    <t>G88</t>
  </si>
  <si>
    <t>798_G88</t>
  </si>
  <si>
    <t>G92</t>
  </si>
  <si>
    <t>798_G92</t>
  </si>
  <si>
    <t>G93</t>
  </si>
  <si>
    <t>798_G93</t>
  </si>
  <si>
    <t>G94</t>
  </si>
  <si>
    <t>798_G94</t>
  </si>
  <si>
    <t>G95</t>
  </si>
  <si>
    <t>798_G95</t>
  </si>
  <si>
    <t>G96</t>
  </si>
  <si>
    <t>798_G96</t>
  </si>
  <si>
    <t>O4</t>
  </si>
  <si>
    <t>798_O4</t>
  </si>
  <si>
    <t>O6</t>
  </si>
  <si>
    <t>798_O6</t>
  </si>
  <si>
    <t>SF2</t>
  </si>
  <si>
    <t>798_SF2</t>
  </si>
  <si>
    <t>participant_id</t>
  </si>
  <si>
    <t>nyu_id</t>
  </si>
  <si>
    <t>sub-01</t>
  </si>
  <si>
    <t>661</t>
  </si>
  <si>
    <t>662</t>
  </si>
  <si>
    <t>717</t>
  </si>
  <si>
    <t>723</t>
  </si>
  <si>
    <t>741</t>
  </si>
  <si>
    <t>742</t>
  </si>
  <si>
    <t>743</t>
  </si>
  <si>
    <t>763</t>
  </si>
  <si>
    <t>798</t>
  </si>
  <si>
    <t>full</t>
  </si>
  <si>
    <t>NYU sub</t>
  </si>
  <si>
    <t>sub</t>
  </si>
  <si>
    <t>NY662_111_Part1_conversation1_EEGPO_02REF</t>
  </si>
  <si>
    <t>NY662_111_Part1_conversation1_EEGPO_03REF</t>
  </si>
  <si>
    <t>NY717_111_Part1_conversation1_LF6</t>
  </si>
  <si>
    <t>NY717_111_Part1_conversation1_LGA10</t>
  </si>
  <si>
    <t>NY717_111_Part1_conversation1_LGA11</t>
  </si>
  <si>
    <t>NY717_111_Part1_conversation1_LGA17</t>
  </si>
  <si>
    <t>NY717_111_Part1_conversation1_LGA18</t>
  </si>
  <si>
    <t>NY717_111_Part1_conversation1_LGA19</t>
  </si>
  <si>
    <t>NY717_111_Part1_conversation1_LGA25</t>
  </si>
  <si>
    <t>NY717_111_Part1_conversation1_LGA26</t>
  </si>
  <si>
    <t>NY717_111_Part1_conversation1_LGA27</t>
  </si>
  <si>
    <t>NY717_111_Part1_conversation1_LGA36</t>
  </si>
  <si>
    <t>NY717_111_Part1_conversation1_LGA37</t>
  </si>
  <si>
    <t>NY717_111_Part1_conversation1_LGA38</t>
  </si>
  <si>
    <t>NY717_111_Part1_conversation1_LGA39</t>
  </si>
  <si>
    <t>NY717_111_Part1_conversation1_LGA40</t>
  </si>
  <si>
    <t>NY717_111_Part1_conversation1_LGA44</t>
  </si>
  <si>
    <t>NY717_111_Part1_conversation1_LGA46</t>
  </si>
  <si>
    <t>NY717_111_Part1_conversation1_LGA47</t>
  </si>
  <si>
    <t>NY717_111_Part1_conversation1_LGA48</t>
  </si>
  <si>
    <t>NY717_111_Part1_conversation1_LGA7</t>
  </si>
  <si>
    <t>NY717_111_Part1_conversation1_LGA9</t>
  </si>
  <si>
    <t>NY717_111_Part1_conversation1_LGB106</t>
  </si>
  <si>
    <t>NY717_111_Part1_conversation1_LGB107</t>
  </si>
  <si>
    <t>NY717_111_Part1_conversation1_LGB108</t>
  </si>
  <si>
    <t>NY717_111_Part1_conversation1_LGB112</t>
  </si>
  <si>
    <t>NY717_111_Part1_conversation1_LGB113</t>
  </si>
  <si>
    <t>NY717_111_Part1_conversation1_LGB114</t>
  </si>
  <si>
    <t>NY717_111_Part1_conversation1_LGB115</t>
  </si>
  <si>
    <t>NY717_111_Part1_conversation1_LGB116</t>
  </si>
  <si>
    <t>NY717_111_Part1_conversation1_LGB117</t>
  </si>
  <si>
    <t>NY717_111_Part1_conversation1_LGB119</t>
  </si>
  <si>
    <t>NY717_111_Part1_conversation1_LGB120</t>
  </si>
  <si>
    <t>NY717_111_Part1_conversation1_LGB121</t>
  </si>
  <si>
    <t>NY717_111_Part1_conversation1_LGB122</t>
  </si>
  <si>
    <t>NY717_111_Part1_conversation1_LGB123</t>
  </si>
  <si>
    <t>NY717_111_Part1_conversation1_LGB124</t>
  </si>
  <si>
    <t>NY717_111_Part1_conversation1_LGB126</t>
  </si>
  <si>
    <t>NY717_111_Part1_conversation1_LGB66</t>
  </si>
  <si>
    <t>NY717_111_Part1_conversation1_LGB67</t>
  </si>
  <si>
    <t>NY717_111_Part1_conversation1_LGB71</t>
  </si>
  <si>
    <t>NY717_111_Part1_conversation1_LGB72</t>
  </si>
  <si>
    <t>NY717_111_Part1_conversation1_LGB74</t>
  </si>
  <si>
    <t>NY717_111_Part1_conversation1_LGB75</t>
  </si>
  <si>
    <t>NY717_111_Part1_conversation1_LGB78</t>
  </si>
  <si>
    <t>NY717_111_Part1_conversation1_LGB79</t>
  </si>
  <si>
    <t>NY717_111_Part1_conversation1_LGB80</t>
  </si>
  <si>
    <t>NY717_111_Part1_conversation1_LGB82</t>
  </si>
  <si>
    <t>NY717_111_Part1_conversation1_LGB86</t>
  </si>
  <si>
    <t>NY717_111_Part1_conversation1_LGB87</t>
  </si>
  <si>
    <t>NY717_111_Part1_conversation1_LGB88</t>
  </si>
  <si>
    <t>NY717_111_Part1_conversation1_LGB92</t>
  </si>
  <si>
    <t>NY717_111_Part1_conversation1_LGB93</t>
  </si>
  <si>
    <t>NY717_111_Part1_conversation1_LGB94</t>
  </si>
  <si>
    <t>NY717_111_Part1_conversation1_LGB95</t>
  </si>
  <si>
    <t>NY717_111_Part1_conversation1_LGB96</t>
  </si>
  <si>
    <t>NY717_111_Part1_conversation1_LOF4</t>
  </si>
  <si>
    <t>NY723_111_Part1_conversation1_LDII10</t>
  </si>
  <si>
    <t>NY723_111_Part1_conversation1_LDII6</t>
  </si>
  <si>
    <t>NY723_111_Part1_conversation1_LDII7</t>
  </si>
  <si>
    <t>NY723_111_Part1_conversation1_LDII8</t>
  </si>
  <si>
    <t>NY723_111_Part1_conversation1_LDII9</t>
  </si>
  <si>
    <t>NY723_111_Part1_conversation1_LDMT1</t>
  </si>
  <si>
    <t>NY723_111_Part1_conversation1_LDMT2</t>
  </si>
  <si>
    <t>NY723_111_Part1_conversation1_LDMT3</t>
  </si>
  <si>
    <t>NY723_111_Part1_conversation1_LDSI10</t>
  </si>
  <si>
    <t>NY723_111_Part1_conversation1_LDSI11</t>
  </si>
  <si>
    <t>NY723_111_Part1_conversation1_LDSI8</t>
  </si>
  <si>
    <t>NY723_111_Part1_conversation1_LDSI9</t>
  </si>
  <si>
    <t>NY723_111_Part1_conversation1_LIF11</t>
  </si>
  <si>
    <t>NY723_111_Part1_conversation1_LIF3</t>
  </si>
  <si>
    <t>NY723_111_Part1_conversation1_LPT1</t>
  </si>
  <si>
    <t>NY723_111_Part1_conversation1_LPT2</t>
  </si>
  <si>
    <t>NY723_111_Part1_conversation1_LSF12</t>
  </si>
  <si>
    <t>NY723_111_Part1_conversation1_LST1</t>
  </si>
  <si>
    <t>NY723_111_Part1_conversation1_LST10</t>
  </si>
  <si>
    <t>NY723_111_Part1_conversation1_LST7</t>
  </si>
  <si>
    <t>NY723_111_Part1_conversation1_LST8</t>
  </si>
  <si>
    <t>NY741_111_Part1_conversation1_GA14</t>
  </si>
  <si>
    <t>NY741_111_Part1_conversation1_GA23</t>
  </si>
  <si>
    <t>NY741_111_Part1_conversation1_GA41</t>
  </si>
  <si>
    <t>NY741_111_Part1_conversation1_GA42</t>
  </si>
  <si>
    <t>NY741_111_Part1_conversation1_GA44</t>
  </si>
  <si>
    <t>NY741_111_Part1_conversation1_GA45</t>
  </si>
  <si>
    <t>NY741_111_Part1_conversation1_GA46</t>
  </si>
  <si>
    <t>NY741_111_Part1_conversation1_GA47</t>
  </si>
  <si>
    <t>NY741_111_Part1_conversation1_GA52</t>
  </si>
  <si>
    <t>NY741_111_Part1_conversation1_GA54</t>
  </si>
  <si>
    <t>NY742_111_Part1_conversation1_G101</t>
  </si>
  <si>
    <t>NY742_111_Part1_conversation1_G102</t>
  </si>
  <si>
    <t>NY742_111_Part1_conversation1_G103</t>
  </si>
  <si>
    <t>NY742_111_Part1_conversation1_G104</t>
  </si>
  <si>
    <t>NY742_111_Part1_conversation1_G108</t>
  </si>
  <si>
    <t>NY742_111_Part1_conversation1_G110</t>
  </si>
  <si>
    <t>NY742_111_Part1_conversation1_G111</t>
  </si>
  <si>
    <t>NY742_111_Part1_conversation1_G113</t>
  </si>
  <si>
    <t>NY742_111_Part1_conversation1_G114</t>
  </si>
  <si>
    <t>NY742_111_Part1_conversation1_G115</t>
  </si>
  <si>
    <t>NY742_111_Part1_conversation1_G116</t>
  </si>
  <si>
    <t>NY742_111_Part1_conversation1_G119</t>
  </si>
  <si>
    <t>NY742_111_Part1_conversation1_G120</t>
  </si>
  <si>
    <t>NY742_111_Part1_conversation1_G121</t>
  </si>
  <si>
    <t>NY742_111_Part1_conversation1_G122</t>
  </si>
  <si>
    <t>NY742_111_Part1_conversation1_G123</t>
  </si>
  <si>
    <t>NY742_111_Part1_conversation1_G124</t>
  </si>
  <si>
    <t>NY742_111_Part1_conversation1_G125</t>
  </si>
  <si>
    <t>NY742_111_Part1_conversation1_G128</t>
  </si>
  <si>
    <t>NY742_111_Part1_conversation1_G15</t>
  </si>
  <si>
    <t>NY742_111_Part1_conversation1_G16</t>
  </si>
  <si>
    <t>NY742_111_Part1_conversation1_G17</t>
  </si>
  <si>
    <t>NY742_111_Part1_conversation1_G22</t>
  </si>
  <si>
    <t>NY742_111_Part1_conversation1_G23</t>
  </si>
  <si>
    <t>NY742_111_Part1_conversation1_G24</t>
  </si>
  <si>
    <t>NY742_111_Part1_conversation1_G26</t>
  </si>
  <si>
    <t>NY742_111_Part1_conversation1_G30</t>
  </si>
  <si>
    <t>NY742_111_Part1_conversation1_G31</t>
  </si>
  <si>
    <t>NY742_111_Part1_conversation1_G34</t>
  </si>
  <si>
    <t>NY742_111_Part1_conversation1_G35</t>
  </si>
  <si>
    <t>NY742_111_Part1_conversation1_G37</t>
  </si>
  <si>
    <t>NY742_111_Part1_conversation1_G38</t>
  </si>
  <si>
    <t>NY742_111_Part1_conversation1_G39</t>
  </si>
  <si>
    <t>NY742_111_Part1_conversation1_G42</t>
  </si>
  <si>
    <t>NY742_111_Part1_conversation1_G43</t>
  </si>
  <si>
    <t>NY742_111_Part1_conversation1_G44</t>
  </si>
  <si>
    <t>NY742_111_Part1_conversation1_G45</t>
  </si>
  <si>
    <t>NY742_111_Part1_conversation1_G48</t>
  </si>
  <si>
    <t>NY742_111_Part1_conversation1_G52</t>
  </si>
  <si>
    <t>NY742_111_Part1_conversation1_G53</t>
  </si>
  <si>
    <t>NY742_111_Part1_conversation1_G54</t>
  </si>
  <si>
    <t>NY742_111_Part1_conversation1_G55</t>
  </si>
  <si>
    <t>NY742_111_Part1_conversation1_G56</t>
  </si>
  <si>
    <t>NY742_111_Part1_conversation1_G59</t>
  </si>
  <si>
    <t>NY742_111_Part1_conversation1_G60</t>
  </si>
  <si>
    <t>NY742_111_Part1_conversation1_G61</t>
  </si>
  <si>
    <t>NY742_111_Part1_conversation1_G63</t>
  </si>
  <si>
    <t>NY742_111_Part1_conversation1_G7</t>
  </si>
  <si>
    <t>NY742_111_Part1_conversation1_G75</t>
  </si>
  <si>
    <t>NY742_111_Part1_conversation1_G76</t>
  </si>
  <si>
    <t>NY742_111_Part1_conversation1_G93</t>
  </si>
  <si>
    <t>NY742_111_Part1_conversation1_G94</t>
  </si>
  <si>
    <t>NY742_111_Part1_conversation1_dMF4</t>
  </si>
  <si>
    <t>NY742_111_Part1_conversation1_dMF5</t>
  </si>
  <si>
    <t>NY742_111_Part1_conversation1_dPI5</t>
  </si>
  <si>
    <t>NY743_111_Part1_conversation1_G11</t>
  </si>
  <si>
    <t>NY743_111_Part1_conversation1_G13</t>
  </si>
  <si>
    <t>NY743_111_Part1_conversation1_G19</t>
  </si>
  <si>
    <t>NY743_111_Part1_conversation1_G44</t>
  </si>
  <si>
    <t>NY743_111_Part1_conversation1_G45</t>
  </si>
  <si>
    <t>NY743_111_Part1_conversation1_G46</t>
  </si>
  <si>
    <t>NY743_111_Part1_conversation1_G47</t>
  </si>
  <si>
    <t>NY743_111_Part1_conversation1_G53</t>
  </si>
  <si>
    <t>NY743_111_Part1_conversation1_G54</t>
  </si>
  <si>
    <t>NY763_111_Part1_conversation1_DAMT2</t>
  </si>
  <si>
    <t>NY763_111_Part1_conversation1_DPI1</t>
  </si>
  <si>
    <t>NY763_111_Part1_conversation1_G15</t>
  </si>
  <si>
    <t>NY763_111_Part1_conversation1_G20</t>
  </si>
  <si>
    <t>NY763_111_Part1_conversation1_G21</t>
  </si>
  <si>
    <t>NY763_111_Part1_conversation1_G22</t>
  </si>
  <si>
    <t>NY763_111_Part1_conversation1_G23</t>
  </si>
  <si>
    <t>NY763_111_Part1_conversation1_G24</t>
  </si>
  <si>
    <t>NY763_111_Part1_conversation1_G31</t>
  </si>
  <si>
    <t>NY763_111_Part1_conversation1_G32</t>
  </si>
  <si>
    <t>NY763_111_Part1_conversation1_G36</t>
  </si>
  <si>
    <t>NY763_111_Part1_conversation1_G44</t>
  </si>
  <si>
    <t>NY763_111_Part1_conversation1_G7</t>
  </si>
  <si>
    <t>NY798_111_Part1_conversation1_AF6</t>
  </si>
  <si>
    <t>NY798_111_Part1_conversation1_AIT3</t>
  </si>
  <si>
    <t>NY798_111_Part1_conversation1_AIT4</t>
  </si>
  <si>
    <t>NY798_111_Part1_conversation1_DPI2</t>
  </si>
  <si>
    <t>NY798_111_Part1_conversation1_DPI3</t>
  </si>
  <si>
    <t>NY798_111_Part1_conversation1_G10</t>
  </si>
  <si>
    <t>NY798_111_Part1_conversation1_G12</t>
  </si>
  <si>
    <t>NY798_111_Part1_conversation1_G15</t>
  </si>
  <si>
    <t>NY798_111_Part1_conversation1_G16</t>
  </si>
  <si>
    <t>NY798_111_Part1_conversation1_G17</t>
  </si>
  <si>
    <t>NY798_111_Part1_conversation1_G18</t>
  </si>
  <si>
    <t>NY798_111_Part1_conversation1_G19</t>
  </si>
  <si>
    <t>NY798_111_Part1_conversation1_G26</t>
  </si>
  <si>
    <t>NY798_111_Part1_conversation1_G27</t>
  </si>
  <si>
    <t>NY798_111_Part1_conversation1_G4</t>
  </si>
  <si>
    <t>NY798_111_Part1_conversation1_G5</t>
  </si>
  <si>
    <t>NY798_111_Part1_conversation1_G55</t>
  </si>
  <si>
    <t>NY798_111_Part1_conversation1_G56</t>
  </si>
  <si>
    <t>NY798_111_Part1_conversation1_G6</t>
  </si>
  <si>
    <t>NY798_111_Part1_conversation1_G63</t>
  </si>
  <si>
    <t>NY798_111_Part1_conversation1_G66</t>
  </si>
  <si>
    <t>NY798_111_Part1_conversation1_G67</t>
  </si>
  <si>
    <t>NY798_111_Part1_conversation1_G77</t>
  </si>
  <si>
    <t>NY798_111_Part1_conversation1_G79</t>
  </si>
  <si>
    <t>NY798_111_Part1_conversation1_G8</t>
  </si>
  <si>
    <t>NY798_111_Part1_conversation1_G81</t>
  </si>
  <si>
    <t>NY798_111_Part1_conversation1_G82</t>
  </si>
  <si>
    <t>NY798_111_Part1_conversation1_G83</t>
  </si>
  <si>
    <t>NY798_111_Part1_conversation1_G84</t>
  </si>
  <si>
    <t>NY798_111_Part1_conversation1_G86</t>
  </si>
  <si>
    <t>NY798_111_Part1_conversation1_G87</t>
  </si>
  <si>
    <t>NY798_111_Part1_conversation1_G88</t>
  </si>
  <si>
    <t>NY798_111_Part1_conversation1_G92</t>
  </si>
  <si>
    <t>NY798_111_Part1_conversation1_G93</t>
  </si>
  <si>
    <t>NY798_111_Part1_conversation1_G94</t>
  </si>
  <si>
    <t>NY798_111_Part1_conversation1_G95</t>
  </si>
  <si>
    <t>NY798_111_Part1_conversation1_G96</t>
  </si>
  <si>
    <t>NY798_111_Part1_conversation1_O3</t>
  </si>
  <si>
    <t>NY798_111_Part1_conversation1_O4</t>
  </si>
  <si>
    <t>NY798_111_Part1_conversation1_O6</t>
  </si>
  <si>
    <t>NY798_111_Part1_conversation1_O7</t>
  </si>
  <si>
    <t>NY798_111_Part1_conversation1_O8</t>
  </si>
  <si>
    <t>NY798_111_Part1_conversation1_SF2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</si>
</sst>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\-d"/>
  </numFmts>
  <fonts count="12">
    <font>
      <sz val="10"/>
      <color rgb="FF000000"/>
      <name val="Arial"/>
      <scheme val="minor"/>
    </font>
    <font>
      <b/>
      <sz val="12"/>
      <color rgb="FF000000"/>
      <name val="&quot;Aptos Display&quot;"/>
    </font>
    <font>
      <b/>
      <sz val="12"/>
      <color rgb="FF00000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rgb="FFFF0000"/>
      <name val="&quot;Aptos Display&quot;"/>
    </font>
    <font>
      <sz val="12"/>
      <color rgb="FF222222"/>
      <name val="&quot;Aptos Display&quot;"/>
    </font>
    <font>
      <sz val="12"/>
      <color rgb="FF000000"/>
      <name val="&quot;Aptos Display&quot;"/>
    </font>
    <font>
      <sz val="12"/>
      <color rgb="FF000000"/>
      <name val="Arial"/>
    </font>
    <font>
      <b/>
      <sz val="12"/>
      <color rgb="FF222222"/>
      <name val="&quot;Open Sans&quot;"/>
    </font>
    <font>
      <sz val="12"/>
      <color rgb="FF222222"/>
      <name val="&quot;Open Sans&quot;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4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61"/>
  <sheetViews>
    <sheetView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16.5" customWidth="1"/>
    <col min="2" max="2" width="15.6640625" customWidth="1"/>
    <col min="3" max="6" width="16.1640625" hidden="1" customWidth="1"/>
    <col min="7" max="7" width="15.33203125" customWidth="1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5" t="s">
        <v>12</v>
      </c>
      <c r="B2" s="5" t="s">
        <v>13</v>
      </c>
      <c r="C2" s="5" t="s">
        <v>14</v>
      </c>
      <c r="D2" s="5">
        <v>0.2</v>
      </c>
      <c r="E2" s="5">
        <v>0.35706693</v>
      </c>
      <c r="F2" s="5">
        <v>662</v>
      </c>
      <c r="L2" s="4" t="s">
        <v>15</v>
      </c>
    </row>
    <row r="3" spans="1:29">
      <c r="A3" s="6" t="s">
        <v>16</v>
      </c>
      <c r="B3" s="7" t="s">
        <v>17</v>
      </c>
      <c r="C3" s="7" t="s">
        <v>18</v>
      </c>
      <c r="D3" s="7">
        <v>0.3</v>
      </c>
      <c r="E3" s="7">
        <v>0.55398135999999998</v>
      </c>
      <c r="F3" s="7">
        <v>717</v>
      </c>
      <c r="G3" s="4" t="s">
        <v>19</v>
      </c>
      <c r="H3" s="4" t="s">
        <v>20</v>
      </c>
      <c r="I3" s="4">
        <v>6</v>
      </c>
      <c r="K3" s="4" t="s">
        <v>21</v>
      </c>
      <c r="L3" s="4" t="s">
        <v>22</v>
      </c>
    </row>
    <row r="4" spans="1:29">
      <c r="A4" s="6" t="s">
        <v>16</v>
      </c>
      <c r="B4" s="7" t="s">
        <v>23</v>
      </c>
      <c r="C4" s="7" t="s">
        <v>24</v>
      </c>
      <c r="D4" s="7">
        <v>0.45</v>
      </c>
      <c r="E4" s="7">
        <v>0.13539311000000001</v>
      </c>
      <c r="F4" s="7">
        <v>717</v>
      </c>
      <c r="G4" s="4" t="s">
        <v>19</v>
      </c>
      <c r="H4" s="4" t="s">
        <v>20</v>
      </c>
      <c r="I4" s="4">
        <v>6</v>
      </c>
      <c r="K4" s="4" t="s">
        <v>25</v>
      </c>
      <c r="L4" s="4" t="s">
        <v>26</v>
      </c>
    </row>
    <row r="5" spans="1:29">
      <c r="A5" s="6" t="s">
        <v>16</v>
      </c>
      <c r="B5" s="7" t="s">
        <v>27</v>
      </c>
      <c r="C5" s="7" t="s">
        <v>28</v>
      </c>
      <c r="D5" s="7">
        <v>0.35</v>
      </c>
      <c r="E5" s="7">
        <v>0.229952352</v>
      </c>
      <c r="F5" s="7">
        <v>717</v>
      </c>
      <c r="G5" s="4" t="s">
        <v>29</v>
      </c>
      <c r="H5" s="4" t="s">
        <v>30</v>
      </c>
      <c r="I5" s="8">
        <v>46176</v>
      </c>
      <c r="K5" s="4" t="s">
        <v>31</v>
      </c>
    </row>
    <row r="6" spans="1:29">
      <c r="A6" s="6" t="s">
        <v>16</v>
      </c>
      <c r="B6" s="7" t="s">
        <v>32</v>
      </c>
      <c r="C6" s="7" t="s">
        <v>33</v>
      </c>
      <c r="D6" s="7">
        <v>-0.85</v>
      </c>
      <c r="E6" s="7">
        <v>0.10465357844999899</v>
      </c>
      <c r="F6" s="7">
        <v>717</v>
      </c>
      <c r="G6" s="4" t="s">
        <v>34</v>
      </c>
    </row>
    <row r="7" spans="1:29">
      <c r="A7" s="6" t="s">
        <v>16</v>
      </c>
      <c r="B7" s="7" t="s">
        <v>35</v>
      </c>
      <c r="C7" s="7" t="s">
        <v>36</v>
      </c>
      <c r="D7" s="7">
        <v>0.8</v>
      </c>
      <c r="E7" s="7">
        <v>0.17673669539999901</v>
      </c>
      <c r="F7" s="7">
        <v>717</v>
      </c>
      <c r="G7" s="4" t="s">
        <v>37</v>
      </c>
      <c r="H7" s="4" t="s">
        <v>38</v>
      </c>
      <c r="I7" s="4">
        <v>3</v>
      </c>
    </row>
    <row r="8" spans="1:29">
      <c r="A8" s="6" t="s">
        <v>16</v>
      </c>
      <c r="B8" s="7" t="s">
        <v>39</v>
      </c>
      <c r="C8" s="7" t="s">
        <v>40</v>
      </c>
      <c r="D8" s="7">
        <v>0</v>
      </c>
      <c r="E8" s="7">
        <v>0.38984397999999998</v>
      </c>
      <c r="F8" s="7">
        <v>717</v>
      </c>
      <c r="G8" s="4" t="s">
        <v>41</v>
      </c>
      <c r="H8" s="4" t="s">
        <v>38</v>
      </c>
      <c r="I8" s="4">
        <v>3</v>
      </c>
    </row>
    <row r="9" spans="1:29">
      <c r="A9" s="6" t="s">
        <v>16</v>
      </c>
      <c r="B9" s="7" t="s">
        <v>42</v>
      </c>
      <c r="C9" s="7" t="s">
        <v>43</v>
      </c>
      <c r="D9" s="7">
        <v>0.18</v>
      </c>
      <c r="E9" s="7">
        <v>0.33650977499999901</v>
      </c>
      <c r="F9" s="7">
        <v>717</v>
      </c>
      <c r="G9" s="4" t="s">
        <v>44</v>
      </c>
      <c r="H9" s="4" t="s">
        <v>45</v>
      </c>
      <c r="I9" s="8">
        <v>46024</v>
      </c>
      <c r="K9" s="4" t="s">
        <v>46</v>
      </c>
    </row>
    <row r="10" spans="1:29">
      <c r="A10" s="6" t="s">
        <v>16</v>
      </c>
      <c r="B10" s="7" t="s">
        <v>47</v>
      </c>
      <c r="C10" s="7" t="s">
        <v>48</v>
      </c>
      <c r="D10" s="7">
        <v>0.12</v>
      </c>
      <c r="E10" s="7">
        <v>0.19198058000000001</v>
      </c>
      <c r="F10" s="7">
        <v>717</v>
      </c>
      <c r="G10" s="4" t="s">
        <v>49</v>
      </c>
      <c r="H10" s="4" t="s">
        <v>50</v>
      </c>
      <c r="I10" s="4">
        <v>1</v>
      </c>
      <c r="K10" s="4" t="s">
        <v>51</v>
      </c>
    </row>
    <row r="11" spans="1:29">
      <c r="A11" s="6" t="s">
        <v>16</v>
      </c>
      <c r="B11" s="7" t="s">
        <v>52</v>
      </c>
      <c r="C11" s="7" t="s">
        <v>53</v>
      </c>
      <c r="D11" s="7">
        <v>0.68</v>
      </c>
      <c r="E11" s="7">
        <v>0.14526286429999999</v>
      </c>
      <c r="F11" s="7">
        <v>717</v>
      </c>
      <c r="G11" s="4" t="s">
        <v>54</v>
      </c>
      <c r="H11" s="4" t="s">
        <v>55</v>
      </c>
      <c r="I11" s="4">
        <v>8</v>
      </c>
      <c r="K11" s="4" t="s">
        <v>56</v>
      </c>
    </row>
    <row r="12" spans="1:29">
      <c r="A12" s="6" t="s">
        <v>16</v>
      </c>
      <c r="B12" s="7" t="s">
        <v>57</v>
      </c>
      <c r="C12" s="7" t="s">
        <v>58</v>
      </c>
      <c r="D12" s="7">
        <v>0.55000000000000004</v>
      </c>
      <c r="E12" s="7">
        <v>0.13990617999999999</v>
      </c>
      <c r="F12" s="7">
        <v>717</v>
      </c>
      <c r="G12" s="4" t="s">
        <v>59</v>
      </c>
      <c r="H12" s="4" t="s">
        <v>38</v>
      </c>
      <c r="I12" s="4">
        <v>4</v>
      </c>
    </row>
    <row r="13" spans="1:29">
      <c r="A13" s="6" t="s">
        <v>16</v>
      </c>
      <c r="B13" s="7" t="s">
        <v>60</v>
      </c>
      <c r="C13" s="7" t="s">
        <v>61</v>
      </c>
      <c r="D13" s="7">
        <v>0.15</v>
      </c>
      <c r="E13" s="7">
        <v>0.26186146099999902</v>
      </c>
      <c r="F13" s="7">
        <v>717</v>
      </c>
      <c r="G13" s="4" t="s">
        <v>62</v>
      </c>
      <c r="H13" s="4" t="s">
        <v>38</v>
      </c>
      <c r="I13" s="8">
        <v>46056</v>
      </c>
      <c r="K13" s="4" t="s">
        <v>63</v>
      </c>
    </row>
    <row r="14" spans="1:29">
      <c r="A14" s="6" t="s">
        <v>16</v>
      </c>
      <c r="B14" s="7" t="s">
        <v>64</v>
      </c>
      <c r="C14" s="7" t="s">
        <v>65</v>
      </c>
      <c r="D14" s="7">
        <v>0.38</v>
      </c>
      <c r="E14" s="7">
        <v>0.19501813499999901</v>
      </c>
      <c r="F14" s="7">
        <v>717</v>
      </c>
      <c r="G14" s="4" t="s">
        <v>66</v>
      </c>
      <c r="H14" s="4" t="s">
        <v>38</v>
      </c>
      <c r="I14" s="4">
        <v>2</v>
      </c>
      <c r="K14" s="4" t="s">
        <v>67</v>
      </c>
    </row>
    <row r="15" spans="1:29">
      <c r="A15" s="6" t="s">
        <v>16</v>
      </c>
      <c r="B15" s="7" t="s">
        <v>68</v>
      </c>
      <c r="C15" s="7" t="s">
        <v>69</v>
      </c>
      <c r="D15" s="7">
        <v>0.8</v>
      </c>
      <c r="E15" s="7">
        <v>0.14040610689999899</v>
      </c>
      <c r="F15" s="7">
        <v>717</v>
      </c>
      <c r="G15" s="4" t="s">
        <v>70</v>
      </c>
      <c r="H15" s="4" t="s">
        <v>71</v>
      </c>
      <c r="I15" s="8">
        <v>46211</v>
      </c>
      <c r="K15" s="4" t="s">
        <v>72</v>
      </c>
    </row>
    <row r="16" spans="1:29">
      <c r="A16" s="6" t="s">
        <v>16</v>
      </c>
      <c r="B16" s="7" t="s">
        <v>73</v>
      </c>
      <c r="C16" s="7" t="s">
        <v>74</v>
      </c>
      <c r="D16" s="7">
        <v>1.1499999999999999</v>
      </c>
      <c r="E16" s="7">
        <v>0.15948056999999999</v>
      </c>
      <c r="F16" s="7">
        <v>717</v>
      </c>
      <c r="G16" s="4" t="s">
        <v>75</v>
      </c>
      <c r="H16" s="4" t="s">
        <v>30</v>
      </c>
      <c r="I16" s="8">
        <v>46206</v>
      </c>
      <c r="K16" s="4" t="s">
        <v>76</v>
      </c>
    </row>
    <row r="17" spans="1:11">
      <c r="A17" s="6" t="s">
        <v>16</v>
      </c>
      <c r="B17" s="7" t="s">
        <v>77</v>
      </c>
      <c r="C17" s="7" t="s">
        <v>78</v>
      </c>
      <c r="D17" s="7">
        <v>0.18</v>
      </c>
      <c r="E17" s="7">
        <v>0.35034976999999901</v>
      </c>
      <c r="F17" s="7">
        <v>717</v>
      </c>
      <c r="G17" s="4" t="s">
        <v>79</v>
      </c>
      <c r="H17" s="4" t="s">
        <v>38</v>
      </c>
      <c r="I17" s="9">
        <v>46056</v>
      </c>
    </row>
    <row r="18" spans="1:11">
      <c r="A18" s="6" t="s">
        <v>16</v>
      </c>
      <c r="B18" s="7" t="s">
        <v>80</v>
      </c>
      <c r="C18" s="7" t="s">
        <v>81</v>
      </c>
      <c r="D18" s="7">
        <v>0.62</v>
      </c>
      <c r="E18" s="7">
        <v>0.46300305000000003</v>
      </c>
      <c r="F18" s="7">
        <v>717</v>
      </c>
      <c r="G18" s="4" t="s">
        <v>82</v>
      </c>
      <c r="H18" s="4" t="s">
        <v>83</v>
      </c>
      <c r="I18" s="8">
        <v>46054</v>
      </c>
      <c r="K18" s="4" t="s">
        <v>84</v>
      </c>
    </row>
    <row r="19" spans="1:11">
      <c r="A19" s="6" t="s">
        <v>16</v>
      </c>
      <c r="B19" s="7" t="s">
        <v>85</v>
      </c>
      <c r="C19" s="7" t="s">
        <v>86</v>
      </c>
      <c r="D19" s="7">
        <v>-7.0000000000000007E-2</v>
      </c>
      <c r="E19" s="7">
        <v>0.409285974</v>
      </c>
      <c r="F19" s="7">
        <v>717</v>
      </c>
      <c r="G19" s="4" t="s">
        <v>87</v>
      </c>
      <c r="H19" s="4" t="s">
        <v>50</v>
      </c>
      <c r="I19" s="4">
        <v>1</v>
      </c>
    </row>
    <row r="20" spans="1:11">
      <c r="A20" s="6" t="s">
        <v>16</v>
      </c>
      <c r="B20" s="7" t="s">
        <v>88</v>
      </c>
      <c r="C20" s="7" t="s">
        <v>89</v>
      </c>
      <c r="D20" s="7">
        <v>0.43</v>
      </c>
      <c r="E20" s="7">
        <v>0.28367478000000002</v>
      </c>
      <c r="F20" s="7">
        <v>717</v>
      </c>
      <c r="G20" s="4" t="s">
        <v>90</v>
      </c>
      <c r="H20" s="4" t="s">
        <v>38</v>
      </c>
      <c r="I20" s="4">
        <v>3</v>
      </c>
    </row>
    <row r="21" spans="1:11">
      <c r="A21" s="6" t="s">
        <v>16</v>
      </c>
      <c r="B21" s="7" t="s">
        <v>91</v>
      </c>
      <c r="C21" s="7" t="s">
        <v>92</v>
      </c>
      <c r="D21" s="7">
        <v>0.48</v>
      </c>
      <c r="E21" s="7">
        <v>0.24828773500000001</v>
      </c>
      <c r="F21" s="7">
        <v>717</v>
      </c>
      <c r="G21" s="4" t="s">
        <v>93</v>
      </c>
      <c r="H21" s="4" t="s">
        <v>38</v>
      </c>
      <c r="I21" s="4">
        <v>2</v>
      </c>
    </row>
    <row r="22" spans="1:11">
      <c r="A22" s="6" t="s">
        <v>16</v>
      </c>
      <c r="B22" s="7" t="s">
        <v>94</v>
      </c>
      <c r="C22" s="7" t="s">
        <v>95</v>
      </c>
      <c r="D22" s="7">
        <v>0.53</v>
      </c>
      <c r="E22" s="7">
        <v>0.24360203899999999</v>
      </c>
      <c r="F22" s="7">
        <v>717</v>
      </c>
      <c r="G22" s="4" t="s">
        <v>93</v>
      </c>
      <c r="H22" s="4" t="s">
        <v>38</v>
      </c>
      <c r="I22" s="4">
        <v>2</v>
      </c>
      <c r="K22" s="4" t="s">
        <v>96</v>
      </c>
    </row>
    <row r="23" spans="1:11">
      <c r="A23" s="6" t="s">
        <v>16</v>
      </c>
      <c r="B23" s="7" t="s">
        <v>97</v>
      </c>
      <c r="C23" s="7" t="s">
        <v>98</v>
      </c>
      <c r="D23" s="7">
        <v>0.15</v>
      </c>
      <c r="E23" s="7">
        <v>0.313366595999999</v>
      </c>
      <c r="F23" s="7">
        <v>717</v>
      </c>
      <c r="G23" s="4" t="s">
        <v>99</v>
      </c>
      <c r="H23" s="4" t="s">
        <v>100</v>
      </c>
      <c r="I23" s="8">
        <v>46024</v>
      </c>
      <c r="K23" s="4" t="s">
        <v>101</v>
      </c>
    </row>
    <row r="24" spans="1:11">
      <c r="A24" s="6" t="s">
        <v>16</v>
      </c>
      <c r="B24" s="7" t="s">
        <v>102</v>
      </c>
      <c r="C24" s="7" t="s">
        <v>103</v>
      </c>
      <c r="D24" s="7">
        <v>-0.02</v>
      </c>
      <c r="E24" s="7">
        <v>0.50232374999999996</v>
      </c>
      <c r="F24" s="7">
        <v>717</v>
      </c>
      <c r="G24" s="4" t="s">
        <v>104</v>
      </c>
      <c r="H24" s="4" t="s">
        <v>83</v>
      </c>
      <c r="I24" s="4">
        <v>2</v>
      </c>
      <c r="J24" s="4" t="s">
        <v>105</v>
      </c>
      <c r="K24" s="4" t="s">
        <v>106</v>
      </c>
    </row>
    <row r="25" spans="1:11">
      <c r="A25" s="6" t="s">
        <v>16</v>
      </c>
      <c r="B25" s="7" t="s">
        <v>107</v>
      </c>
      <c r="C25" s="7" t="s">
        <v>108</v>
      </c>
      <c r="D25" s="7">
        <v>0.18</v>
      </c>
      <c r="E25" s="7">
        <v>0.31563275000000002</v>
      </c>
      <c r="F25" s="7">
        <v>717</v>
      </c>
      <c r="G25" s="4" t="s">
        <v>104</v>
      </c>
      <c r="H25" s="4" t="s">
        <v>45</v>
      </c>
      <c r="I25" s="4">
        <v>1</v>
      </c>
      <c r="J25" s="4" t="s">
        <v>105</v>
      </c>
    </row>
    <row r="26" spans="1:11">
      <c r="A26" s="6" t="s">
        <v>16</v>
      </c>
      <c r="B26" s="7" t="s">
        <v>109</v>
      </c>
      <c r="C26" s="7" t="s">
        <v>110</v>
      </c>
      <c r="D26" s="7">
        <v>-7.0000000000000007E-2</v>
      </c>
      <c r="E26" s="7">
        <v>0.35330648999999997</v>
      </c>
      <c r="F26" s="7">
        <v>717</v>
      </c>
      <c r="G26" s="4" t="s">
        <v>111</v>
      </c>
      <c r="H26" s="4" t="s">
        <v>112</v>
      </c>
      <c r="I26" s="4">
        <v>1</v>
      </c>
      <c r="J26" s="4" t="s">
        <v>105</v>
      </c>
    </row>
    <row r="27" spans="1:11">
      <c r="A27" s="6" t="s">
        <v>16</v>
      </c>
      <c r="B27" s="7" t="s">
        <v>113</v>
      </c>
      <c r="C27" s="7" t="s">
        <v>114</v>
      </c>
      <c r="D27" s="7">
        <v>0.75</v>
      </c>
      <c r="E27" s="7">
        <v>0.16968604299999901</v>
      </c>
      <c r="F27" s="7">
        <v>717</v>
      </c>
      <c r="G27" s="4" t="s">
        <v>54</v>
      </c>
      <c r="H27" s="4" t="s">
        <v>115</v>
      </c>
      <c r="I27" s="4">
        <v>15</v>
      </c>
      <c r="K27" s="4" t="s">
        <v>116</v>
      </c>
    </row>
    <row r="28" spans="1:11">
      <c r="A28" s="6" t="s">
        <v>16</v>
      </c>
      <c r="B28" s="7" t="s">
        <v>117</v>
      </c>
      <c r="C28" s="7" t="s">
        <v>118</v>
      </c>
      <c r="D28" s="7">
        <v>0.57999999999999996</v>
      </c>
      <c r="E28" s="7">
        <v>0.16961208999999999</v>
      </c>
      <c r="F28" s="7">
        <v>717</v>
      </c>
      <c r="G28" s="4" t="s">
        <v>119</v>
      </c>
      <c r="H28" s="4" t="s">
        <v>71</v>
      </c>
      <c r="I28" s="8">
        <v>46211</v>
      </c>
      <c r="J28" s="4" t="s">
        <v>120</v>
      </c>
      <c r="K28" s="4" t="s">
        <v>121</v>
      </c>
    </row>
    <row r="29" spans="1:11">
      <c r="A29" s="6" t="s">
        <v>16</v>
      </c>
      <c r="B29" s="7" t="s">
        <v>122</v>
      </c>
      <c r="C29" s="7" t="s">
        <v>123</v>
      </c>
      <c r="D29" s="7">
        <v>0.45</v>
      </c>
      <c r="E29" s="7">
        <v>0.38584152199999899</v>
      </c>
      <c r="F29" s="7">
        <v>717</v>
      </c>
      <c r="G29" s="4" t="s">
        <v>119</v>
      </c>
      <c r="H29" s="4" t="s">
        <v>71</v>
      </c>
      <c r="I29" s="4">
        <v>7</v>
      </c>
      <c r="J29" s="4" t="s">
        <v>120</v>
      </c>
      <c r="K29" s="4" t="s">
        <v>124</v>
      </c>
    </row>
    <row r="30" spans="1:11">
      <c r="A30" s="6" t="s">
        <v>16</v>
      </c>
      <c r="B30" s="7" t="s">
        <v>125</v>
      </c>
      <c r="C30" s="7" t="s">
        <v>126</v>
      </c>
      <c r="D30" s="7">
        <v>0.3</v>
      </c>
      <c r="E30" s="7">
        <v>0.26886438000000001</v>
      </c>
      <c r="F30" s="7">
        <v>717</v>
      </c>
      <c r="G30" s="4" t="s">
        <v>127</v>
      </c>
      <c r="H30" s="4" t="s">
        <v>71</v>
      </c>
      <c r="I30" s="4">
        <v>7</v>
      </c>
      <c r="J30" s="4" t="s">
        <v>120</v>
      </c>
      <c r="K30" s="4" t="s">
        <v>128</v>
      </c>
    </row>
    <row r="31" spans="1:11">
      <c r="A31" s="6" t="s">
        <v>16</v>
      </c>
      <c r="B31" s="7" t="s">
        <v>129</v>
      </c>
      <c r="C31" s="7" t="s">
        <v>130</v>
      </c>
      <c r="D31" s="7">
        <v>0.43</v>
      </c>
      <c r="E31" s="7">
        <v>0.38459758999999999</v>
      </c>
      <c r="F31" s="7">
        <v>717</v>
      </c>
      <c r="G31" s="4" t="s">
        <v>19</v>
      </c>
      <c r="H31" s="4" t="s">
        <v>71</v>
      </c>
      <c r="I31" s="4">
        <v>7</v>
      </c>
      <c r="J31" s="4" t="s">
        <v>131</v>
      </c>
    </row>
    <row r="32" spans="1:11">
      <c r="A32" s="6" t="s">
        <v>16</v>
      </c>
      <c r="B32" s="7" t="s">
        <v>132</v>
      </c>
      <c r="C32" s="7" t="s">
        <v>133</v>
      </c>
      <c r="D32" s="7">
        <v>0.38</v>
      </c>
      <c r="E32" s="7">
        <v>0.50381211000000004</v>
      </c>
      <c r="F32" s="7">
        <v>717</v>
      </c>
      <c r="G32" s="4" t="s">
        <v>19</v>
      </c>
      <c r="H32" s="4" t="s">
        <v>71</v>
      </c>
      <c r="I32" s="4">
        <v>7</v>
      </c>
      <c r="J32" s="4" t="s">
        <v>131</v>
      </c>
    </row>
    <row r="33" spans="1:11">
      <c r="A33" s="6" t="s">
        <v>16</v>
      </c>
      <c r="B33" s="7" t="s">
        <v>134</v>
      </c>
      <c r="C33" s="7" t="s">
        <v>135</v>
      </c>
      <c r="D33" s="7">
        <v>0.18</v>
      </c>
      <c r="E33" s="7">
        <v>0.36052651299999999</v>
      </c>
      <c r="F33" s="7">
        <v>717</v>
      </c>
      <c r="G33" s="4" t="s">
        <v>19</v>
      </c>
      <c r="H33" s="4" t="s">
        <v>71</v>
      </c>
      <c r="I33" s="4">
        <v>7</v>
      </c>
      <c r="J33" s="4" t="s">
        <v>131</v>
      </c>
    </row>
    <row r="34" spans="1:11">
      <c r="A34" s="6" t="s">
        <v>16</v>
      </c>
      <c r="B34" s="7" t="s">
        <v>136</v>
      </c>
      <c r="C34" s="7" t="s">
        <v>137</v>
      </c>
      <c r="D34" s="7">
        <v>0.88</v>
      </c>
      <c r="E34" s="7">
        <v>0.158521629999999</v>
      </c>
      <c r="F34" s="7">
        <v>717</v>
      </c>
      <c r="G34" s="4" t="s">
        <v>19</v>
      </c>
      <c r="H34" s="4" t="s">
        <v>71</v>
      </c>
      <c r="I34" s="4">
        <v>7</v>
      </c>
      <c r="J34" s="4" t="s">
        <v>131</v>
      </c>
    </row>
    <row r="35" spans="1:11">
      <c r="A35" s="6" t="s">
        <v>16</v>
      </c>
      <c r="B35" s="7" t="s">
        <v>138</v>
      </c>
      <c r="C35" s="7" t="s">
        <v>139</v>
      </c>
      <c r="D35" s="7">
        <v>0.2</v>
      </c>
      <c r="E35" s="7">
        <v>0.1519181</v>
      </c>
      <c r="F35" s="7">
        <v>717</v>
      </c>
      <c r="G35" s="4" t="s">
        <v>140</v>
      </c>
      <c r="H35" s="4" t="s">
        <v>55</v>
      </c>
      <c r="I35" s="4">
        <v>9</v>
      </c>
      <c r="J35" s="4" t="s">
        <v>120</v>
      </c>
    </row>
    <row r="36" spans="1:11">
      <c r="A36" s="6" t="s">
        <v>16</v>
      </c>
      <c r="B36" s="7" t="s">
        <v>141</v>
      </c>
      <c r="C36" s="7" t="s">
        <v>142</v>
      </c>
      <c r="D36" s="7">
        <v>0.3</v>
      </c>
      <c r="E36" s="7">
        <v>0.28040651799999999</v>
      </c>
      <c r="F36" s="7">
        <v>717</v>
      </c>
      <c r="G36" s="4" t="s">
        <v>140</v>
      </c>
      <c r="H36" s="4" t="s">
        <v>143</v>
      </c>
      <c r="I36" s="4">
        <v>8</v>
      </c>
      <c r="J36" s="4" t="s">
        <v>120</v>
      </c>
      <c r="K36" s="4" t="s">
        <v>144</v>
      </c>
    </row>
    <row r="37" spans="1:11">
      <c r="A37" s="6" t="s">
        <v>16</v>
      </c>
      <c r="B37" s="7" t="s">
        <v>145</v>
      </c>
      <c r="C37" s="7" t="s">
        <v>146</v>
      </c>
      <c r="D37" s="7">
        <v>0.18</v>
      </c>
      <c r="E37" s="7">
        <v>0.32626836099999901</v>
      </c>
      <c r="F37" s="7">
        <v>717</v>
      </c>
      <c r="G37" s="4" t="s">
        <v>19</v>
      </c>
      <c r="H37" s="4" t="s">
        <v>71</v>
      </c>
      <c r="I37" s="4">
        <v>7</v>
      </c>
      <c r="J37" s="4" t="s">
        <v>131</v>
      </c>
      <c r="K37" s="4" t="s">
        <v>147</v>
      </c>
    </row>
    <row r="38" spans="1:11">
      <c r="A38" s="6" t="s">
        <v>16</v>
      </c>
      <c r="B38" s="7" t="s">
        <v>148</v>
      </c>
      <c r="C38" s="7" t="s">
        <v>149</v>
      </c>
      <c r="D38" s="7">
        <v>0.95</v>
      </c>
      <c r="E38" s="7">
        <v>0.24158318000000001</v>
      </c>
      <c r="F38" s="7">
        <v>717</v>
      </c>
      <c r="G38" s="4" t="s">
        <v>19</v>
      </c>
      <c r="H38" s="4" t="s">
        <v>71</v>
      </c>
      <c r="I38" s="4">
        <v>7</v>
      </c>
      <c r="J38" s="4" t="s">
        <v>131</v>
      </c>
      <c r="K38" s="4" t="s">
        <v>147</v>
      </c>
    </row>
    <row r="39" spans="1:11">
      <c r="A39" s="6" t="s">
        <v>16</v>
      </c>
      <c r="B39" s="7" t="s">
        <v>150</v>
      </c>
      <c r="C39" s="7" t="s">
        <v>151</v>
      </c>
      <c r="D39" s="7">
        <v>0.2</v>
      </c>
      <c r="E39" s="7">
        <v>0.18218079000000001</v>
      </c>
      <c r="F39" s="7">
        <v>717</v>
      </c>
      <c r="G39" s="4" t="s">
        <v>19</v>
      </c>
      <c r="H39" s="4" t="s">
        <v>71</v>
      </c>
      <c r="I39" s="8">
        <v>46211</v>
      </c>
      <c r="J39" s="4" t="s">
        <v>131</v>
      </c>
      <c r="K39" s="4" t="s">
        <v>152</v>
      </c>
    </row>
    <row r="40" spans="1:11">
      <c r="A40" s="6" t="s">
        <v>16</v>
      </c>
      <c r="B40" s="7" t="s">
        <v>153</v>
      </c>
      <c r="C40" s="7" t="s">
        <v>154</v>
      </c>
      <c r="D40" s="7">
        <v>0.55000000000000004</v>
      </c>
      <c r="E40" s="7">
        <v>0.12678149759999999</v>
      </c>
      <c r="F40" s="7">
        <v>717</v>
      </c>
      <c r="G40" s="4" t="s">
        <v>155</v>
      </c>
      <c r="H40" s="4" t="s">
        <v>156</v>
      </c>
      <c r="I40" s="8">
        <v>46127</v>
      </c>
      <c r="J40" s="4" t="s">
        <v>105</v>
      </c>
      <c r="K40" s="4" t="s">
        <v>157</v>
      </c>
    </row>
    <row r="41" spans="1:11">
      <c r="A41" s="6" t="s">
        <v>158</v>
      </c>
      <c r="B41" s="7" t="s">
        <v>159</v>
      </c>
      <c r="C41" s="7" t="s">
        <v>160</v>
      </c>
      <c r="D41" s="7">
        <v>-0.2</v>
      </c>
      <c r="E41" s="7">
        <v>0.17898895000000001</v>
      </c>
      <c r="F41" s="7">
        <v>723</v>
      </c>
      <c r="G41" s="4" t="s">
        <v>161</v>
      </c>
      <c r="H41" s="4" t="s">
        <v>162</v>
      </c>
      <c r="I41" s="4" t="s">
        <v>163</v>
      </c>
      <c r="J41" s="4" t="s">
        <v>120</v>
      </c>
      <c r="K41" s="4" t="s">
        <v>164</v>
      </c>
    </row>
    <row r="42" spans="1:11">
      <c r="A42" s="6" t="s">
        <v>158</v>
      </c>
      <c r="B42" s="7" t="s">
        <v>165</v>
      </c>
      <c r="C42" s="7" t="s">
        <v>166</v>
      </c>
      <c r="D42" s="7">
        <v>-0.17</v>
      </c>
      <c r="E42" s="7">
        <v>0.30228204999999903</v>
      </c>
      <c r="F42" s="7">
        <v>723</v>
      </c>
      <c r="G42" s="4" t="s">
        <v>167</v>
      </c>
      <c r="H42" s="4" t="s">
        <v>162</v>
      </c>
      <c r="I42" s="4" t="s">
        <v>163</v>
      </c>
      <c r="J42" s="4" t="s">
        <v>120</v>
      </c>
      <c r="K42" s="4" t="s">
        <v>168</v>
      </c>
    </row>
    <row r="43" spans="1:11">
      <c r="A43" s="6" t="s">
        <v>158</v>
      </c>
      <c r="B43" s="7" t="s">
        <v>169</v>
      </c>
      <c r="C43" s="7" t="s">
        <v>170</v>
      </c>
      <c r="D43" s="7">
        <v>-0.15</v>
      </c>
      <c r="E43" s="7">
        <v>0.26074068</v>
      </c>
      <c r="F43" s="7">
        <v>723</v>
      </c>
      <c r="G43" s="4" t="s">
        <v>171</v>
      </c>
      <c r="H43" s="4" t="s">
        <v>163</v>
      </c>
      <c r="I43" s="4">
        <v>15</v>
      </c>
      <c r="J43" s="4" t="s">
        <v>120</v>
      </c>
      <c r="K43" s="4" t="s">
        <v>168</v>
      </c>
    </row>
    <row r="44" spans="1:11">
      <c r="A44" s="6" t="s">
        <v>158</v>
      </c>
      <c r="B44" s="7" t="s">
        <v>172</v>
      </c>
      <c r="C44" s="7" t="s">
        <v>173</v>
      </c>
      <c r="D44" s="7">
        <v>-0.1</v>
      </c>
      <c r="E44" s="7">
        <v>0.33031193599999997</v>
      </c>
      <c r="F44" s="7">
        <v>723</v>
      </c>
      <c r="G44" s="4" t="s">
        <v>174</v>
      </c>
      <c r="H44" s="4" t="s">
        <v>175</v>
      </c>
      <c r="I44" s="4" t="s">
        <v>176</v>
      </c>
      <c r="J44" s="4" t="s">
        <v>105</v>
      </c>
    </row>
    <row r="45" spans="1:11">
      <c r="A45" s="6" t="s">
        <v>158</v>
      </c>
      <c r="B45" s="7" t="s">
        <v>177</v>
      </c>
      <c r="C45" s="10" t="s">
        <v>178</v>
      </c>
      <c r="D45" s="7">
        <v>0</v>
      </c>
      <c r="E45" s="7">
        <v>0.2841436</v>
      </c>
      <c r="F45" s="7">
        <v>723</v>
      </c>
      <c r="G45" s="4" t="s">
        <v>179</v>
      </c>
      <c r="H45" s="4" t="s">
        <v>175</v>
      </c>
      <c r="I45" s="4" t="s">
        <v>176</v>
      </c>
      <c r="J45" s="4" t="s">
        <v>120</v>
      </c>
    </row>
    <row r="46" spans="1:11">
      <c r="A46" s="6" t="s">
        <v>158</v>
      </c>
      <c r="B46" s="7" t="s">
        <v>180</v>
      </c>
      <c r="C46" s="7" t="s">
        <v>181</v>
      </c>
      <c r="D46" s="7">
        <v>0.35</v>
      </c>
      <c r="E46" s="7">
        <v>0.19811741999999999</v>
      </c>
      <c r="F46" s="7">
        <v>723</v>
      </c>
      <c r="G46" s="4" t="s">
        <v>182</v>
      </c>
      <c r="H46" s="4" t="s">
        <v>183</v>
      </c>
      <c r="I46" s="9">
        <v>46211</v>
      </c>
      <c r="J46" s="4" t="s">
        <v>120</v>
      </c>
    </row>
    <row r="47" spans="1:11">
      <c r="A47" s="6" t="s">
        <v>158</v>
      </c>
      <c r="B47" s="7" t="s">
        <v>184</v>
      </c>
      <c r="C47" s="7" t="s">
        <v>185</v>
      </c>
      <c r="D47" s="7">
        <v>1.18</v>
      </c>
      <c r="E47" s="7">
        <v>0.1405352</v>
      </c>
      <c r="F47" s="7">
        <v>723</v>
      </c>
      <c r="G47" s="4" t="s">
        <v>186</v>
      </c>
      <c r="H47" s="4" t="s">
        <v>187</v>
      </c>
      <c r="K47" s="4" t="s">
        <v>188</v>
      </c>
    </row>
    <row r="48" spans="1:11">
      <c r="A48" s="6" t="s">
        <v>158</v>
      </c>
      <c r="B48" s="7" t="s">
        <v>189</v>
      </c>
      <c r="C48" s="7" t="s">
        <v>190</v>
      </c>
      <c r="D48" s="7">
        <v>0.65</v>
      </c>
      <c r="E48" s="7">
        <v>0.129790188</v>
      </c>
      <c r="F48" s="7">
        <v>723</v>
      </c>
      <c r="G48" s="4" t="s">
        <v>186</v>
      </c>
      <c r="H48" s="4" t="s">
        <v>187</v>
      </c>
      <c r="K48" s="4" t="s">
        <v>188</v>
      </c>
    </row>
    <row r="49" spans="1:11">
      <c r="A49" s="6" t="s">
        <v>158</v>
      </c>
      <c r="B49" s="7" t="s">
        <v>191</v>
      </c>
      <c r="C49" s="7" t="s">
        <v>192</v>
      </c>
      <c r="D49" s="7">
        <v>0.73</v>
      </c>
      <c r="E49" s="7">
        <v>0.14027763839999999</v>
      </c>
      <c r="F49" s="7">
        <v>723</v>
      </c>
      <c r="G49" s="4" t="s">
        <v>186</v>
      </c>
      <c r="H49" s="4" t="s">
        <v>193</v>
      </c>
      <c r="K49" s="4" t="s">
        <v>188</v>
      </c>
    </row>
    <row r="50" spans="1:11">
      <c r="A50" s="6" t="s">
        <v>158</v>
      </c>
      <c r="B50" s="7" t="s">
        <v>194</v>
      </c>
      <c r="C50" s="7" t="s">
        <v>195</v>
      </c>
      <c r="D50" s="7">
        <v>0.12</v>
      </c>
      <c r="E50" s="7">
        <v>0.236283833</v>
      </c>
      <c r="F50" s="7">
        <v>723</v>
      </c>
      <c r="G50" s="4" t="s">
        <v>196</v>
      </c>
      <c r="H50" s="4" t="s">
        <v>183</v>
      </c>
      <c r="I50" s="9">
        <v>46211</v>
      </c>
      <c r="J50" s="4" t="s">
        <v>120</v>
      </c>
    </row>
    <row r="51" spans="1:11">
      <c r="A51" s="6" t="s">
        <v>158</v>
      </c>
      <c r="B51" s="7" t="s">
        <v>197</v>
      </c>
      <c r="C51" s="7" t="s">
        <v>198</v>
      </c>
      <c r="D51" s="7">
        <v>0.55000000000000004</v>
      </c>
      <c r="E51" s="7">
        <v>0.24957304999999999</v>
      </c>
      <c r="F51" s="7">
        <v>723</v>
      </c>
      <c r="G51" s="4" t="s">
        <v>199</v>
      </c>
      <c r="H51" s="4" t="s">
        <v>200</v>
      </c>
      <c r="I51" s="4">
        <v>15</v>
      </c>
      <c r="J51" s="4" t="s">
        <v>105</v>
      </c>
    </row>
    <row r="52" spans="1:11">
      <c r="A52" s="6" t="s">
        <v>158</v>
      </c>
      <c r="B52" s="7" t="s">
        <v>201</v>
      </c>
      <c r="C52" s="7" t="s">
        <v>202</v>
      </c>
      <c r="D52" s="7">
        <v>0.25</v>
      </c>
      <c r="E52" s="7">
        <v>0.16145406000000001</v>
      </c>
      <c r="F52" s="7">
        <v>723</v>
      </c>
      <c r="G52" s="4" t="s">
        <v>203</v>
      </c>
      <c r="H52" s="4" t="s">
        <v>55</v>
      </c>
      <c r="I52" s="4">
        <v>10</v>
      </c>
      <c r="J52" s="4" t="s">
        <v>120</v>
      </c>
    </row>
    <row r="53" spans="1:11">
      <c r="A53" s="6" t="s">
        <v>158</v>
      </c>
      <c r="B53" s="7" t="s">
        <v>204</v>
      </c>
      <c r="C53" s="7" t="s">
        <v>205</v>
      </c>
      <c r="D53" s="7">
        <v>0.3</v>
      </c>
      <c r="E53" s="7">
        <v>0.34085096199999898</v>
      </c>
      <c r="F53" s="7">
        <v>723</v>
      </c>
      <c r="G53" s="4" t="s">
        <v>206</v>
      </c>
      <c r="H53" s="4" t="s">
        <v>207</v>
      </c>
      <c r="I53" s="4">
        <v>4</v>
      </c>
      <c r="J53" s="4" t="s">
        <v>120</v>
      </c>
      <c r="K53" s="4" t="s">
        <v>208</v>
      </c>
    </row>
    <row r="54" spans="1:11">
      <c r="A54" s="6" t="s">
        <v>158</v>
      </c>
      <c r="B54" s="7" t="s">
        <v>209</v>
      </c>
      <c r="C54" s="7" t="s">
        <v>210</v>
      </c>
      <c r="D54" s="7">
        <v>0.38</v>
      </c>
      <c r="E54" s="7">
        <v>0.24250764499999999</v>
      </c>
      <c r="F54" s="7">
        <v>723</v>
      </c>
      <c r="G54" s="4" t="s">
        <v>211</v>
      </c>
      <c r="H54" s="4" t="s">
        <v>212</v>
      </c>
      <c r="I54" s="8">
        <v>46127</v>
      </c>
      <c r="J54" s="4" t="s">
        <v>105</v>
      </c>
      <c r="K54" s="4" t="s">
        <v>213</v>
      </c>
    </row>
    <row r="55" spans="1:11">
      <c r="A55" s="6" t="s">
        <v>214</v>
      </c>
      <c r="B55" s="7" t="s">
        <v>215</v>
      </c>
      <c r="C55" s="7" t="s">
        <v>216</v>
      </c>
      <c r="D55" s="7">
        <v>0.15</v>
      </c>
      <c r="E55" s="7">
        <v>0.19073576</v>
      </c>
      <c r="F55" s="7">
        <v>741</v>
      </c>
    </row>
    <row r="56" spans="1:11">
      <c r="A56" s="6" t="s">
        <v>214</v>
      </c>
      <c r="B56" s="7" t="s">
        <v>217</v>
      </c>
      <c r="C56" s="7" t="s">
        <v>218</v>
      </c>
      <c r="D56" s="7">
        <v>0.2</v>
      </c>
      <c r="E56" s="7">
        <v>0.28422429999999999</v>
      </c>
      <c r="F56" s="7">
        <v>741</v>
      </c>
    </row>
    <row r="57" spans="1:11">
      <c r="A57" s="6" t="s">
        <v>214</v>
      </c>
      <c r="B57" s="7" t="s">
        <v>219</v>
      </c>
      <c r="C57" s="7" t="s">
        <v>220</v>
      </c>
      <c r="D57" s="7">
        <v>0.35</v>
      </c>
      <c r="E57" s="7">
        <v>0.19941104899999901</v>
      </c>
      <c r="F57" s="7">
        <v>741</v>
      </c>
    </row>
    <row r="58" spans="1:11">
      <c r="A58" s="6" t="s">
        <v>214</v>
      </c>
      <c r="B58" s="7" t="s">
        <v>221</v>
      </c>
      <c r="C58" s="7" t="s">
        <v>222</v>
      </c>
      <c r="D58" s="7">
        <v>0.18</v>
      </c>
      <c r="E58" s="7">
        <v>0.41660169499999899</v>
      </c>
      <c r="F58" s="7">
        <v>741</v>
      </c>
    </row>
    <row r="59" spans="1:11">
      <c r="A59" s="6" t="s">
        <v>214</v>
      </c>
      <c r="B59" s="7" t="s">
        <v>223</v>
      </c>
      <c r="C59" s="7" t="s">
        <v>224</v>
      </c>
      <c r="D59" s="7">
        <v>0.2</v>
      </c>
      <c r="E59" s="7">
        <v>0.50380060199999999</v>
      </c>
      <c r="F59" s="7">
        <v>741</v>
      </c>
    </row>
    <row r="60" spans="1:11">
      <c r="A60" s="6" t="s">
        <v>214</v>
      </c>
      <c r="B60" s="7" t="s">
        <v>225</v>
      </c>
      <c r="C60" s="7" t="s">
        <v>226</v>
      </c>
      <c r="D60" s="7">
        <v>0.25</v>
      </c>
      <c r="E60" s="7">
        <v>0.17265619799999901</v>
      </c>
      <c r="F60" s="7">
        <v>741</v>
      </c>
    </row>
    <row r="61" spans="1:11">
      <c r="A61" s="6" t="s">
        <v>214</v>
      </c>
      <c r="B61" s="7" t="s">
        <v>227</v>
      </c>
      <c r="C61" s="7" t="s">
        <v>228</v>
      </c>
      <c r="D61" s="7">
        <v>0.3</v>
      </c>
      <c r="E61" s="7">
        <v>0.16413815000000001</v>
      </c>
      <c r="F61" s="7">
        <v>741</v>
      </c>
    </row>
    <row r="62" spans="1:11">
      <c r="A62" s="6" t="s">
        <v>214</v>
      </c>
      <c r="B62" s="7" t="s">
        <v>229</v>
      </c>
      <c r="C62" s="7" t="s">
        <v>230</v>
      </c>
      <c r="D62" s="7">
        <v>-1.48</v>
      </c>
      <c r="E62" s="7">
        <v>5.8379460000000001E-2</v>
      </c>
      <c r="F62" s="7">
        <v>741</v>
      </c>
    </row>
    <row r="63" spans="1:11">
      <c r="A63" s="6" t="s">
        <v>231</v>
      </c>
      <c r="B63" s="7" t="s">
        <v>232</v>
      </c>
      <c r="C63" s="7" t="s">
        <v>233</v>
      </c>
      <c r="D63" s="7">
        <v>0.12</v>
      </c>
      <c r="E63" s="7">
        <v>0.25865228899999998</v>
      </c>
      <c r="F63" s="7">
        <v>742</v>
      </c>
    </row>
    <row r="64" spans="1:11">
      <c r="A64" s="6" t="s">
        <v>231</v>
      </c>
      <c r="B64" s="7" t="s">
        <v>234</v>
      </c>
      <c r="C64" s="7" t="s">
        <v>235</v>
      </c>
      <c r="D64" s="7">
        <v>0.2</v>
      </c>
      <c r="E64" s="7">
        <v>0.41452890999999997</v>
      </c>
      <c r="F64" s="7">
        <v>742</v>
      </c>
    </row>
    <row r="65" spans="1:6">
      <c r="A65" s="6" t="s">
        <v>231</v>
      </c>
      <c r="B65" s="7" t="s">
        <v>236</v>
      </c>
      <c r="C65" s="7" t="s">
        <v>237</v>
      </c>
      <c r="D65" s="7">
        <v>-0.02</v>
      </c>
      <c r="E65" s="7">
        <v>0.50384949000000001</v>
      </c>
      <c r="F65" s="7">
        <v>742</v>
      </c>
    </row>
    <row r="66" spans="1:6">
      <c r="A66" s="6" t="s">
        <v>231</v>
      </c>
      <c r="B66" s="7" t="s">
        <v>238</v>
      </c>
      <c r="C66" s="7" t="s">
        <v>239</v>
      </c>
      <c r="D66" s="7">
        <v>-0.05</v>
      </c>
      <c r="E66" s="7">
        <v>0.38206398899999999</v>
      </c>
      <c r="F66" s="7">
        <v>742</v>
      </c>
    </row>
    <row r="67" spans="1:6">
      <c r="A67" s="6" t="s">
        <v>231</v>
      </c>
      <c r="B67" s="7" t="s">
        <v>240</v>
      </c>
      <c r="C67" s="7" t="s">
        <v>241</v>
      </c>
      <c r="D67" s="7">
        <v>0.2</v>
      </c>
      <c r="E67" s="7">
        <v>0.17577908</v>
      </c>
      <c r="F67" s="7">
        <v>742</v>
      </c>
    </row>
    <row r="68" spans="1:6">
      <c r="A68" s="6" t="s">
        <v>231</v>
      </c>
      <c r="B68" s="7" t="s">
        <v>242</v>
      </c>
      <c r="C68" s="7" t="s">
        <v>243</v>
      </c>
      <c r="D68" s="7">
        <v>-0.05</v>
      </c>
      <c r="E68" s="7">
        <v>0.36604721499999998</v>
      </c>
      <c r="F68" s="7">
        <v>742</v>
      </c>
    </row>
    <row r="69" spans="1:6">
      <c r="A69" s="6" t="s">
        <v>231</v>
      </c>
      <c r="B69" s="7" t="s">
        <v>244</v>
      </c>
      <c r="C69" s="7" t="s">
        <v>245</v>
      </c>
      <c r="D69" s="7">
        <v>-7.0000000000000007E-2</v>
      </c>
      <c r="E69" s="7">
        <v>0.38304918999999998</v>
      </c>
      <c r="F69" s="7">
        <v>742</v>
      </c>
    </row>
    <row r="70" spans="1:6">
      <c r="A70" s="6" t="s">
        <v>231</v>
      </c>
      <c r="B70" s="7" t="s">
        <v>246</v>
      </c>
      <c r="C70" s="7" t="s">
        <v>247</v>
      </c>
      <c r="D70" s="7">
        <v>0.23</v>
      </c>
      <c r="E70" s="7">
        <v>0.30267708999999998</v>
      </c>
      <c r="F70" s="7">
        <v>742</v>
      </c>
    </row>
    <row r="71" spans="1:6">
      <c r="A71" s="6" t="s">
        <v>231</v>
      </c>
      <c r="B71" s="7" t="s">
        <v>248</v>
      </c>
      <c r="C71" s="7" t="s">
        <v>249</v>
      </c>
      <c r="D71" s="7">
        <v>0.4</v>
      </c>
      <c r="E71" s="7">
        <v>0.1170828453</v>
      </c>
      <c r="F71" s="7">
        <v>742</v>
      </c>
    </row>
    <row r="72" spans="1:6">
      <c r="A72" s="6" t="s">
        <v>231</v>
      </c>
      <c r="B72" s="7" t="s">
        <v>250</v>
      </c>
      <c r="C72" s="7" t="s">
        <v>251</v>
      </c>
      <c r="D72" s="7">
        <v>0.27</v>
      </c>
      <c r="E72" s="7">
        <v>0.15919620000000001</v>
      </c>
      <c r="F72" s="7">
        <v>742</v>
      </c>
    </row>
    <row r="73" spans="1:6">
      <c r="A73" s="6" t="s">
        <v>231</v>
      </c>
      <c r="B73" s="7" t="s">
        <v>252</v>
      </c>
      <c r="C73" s="7" t="s">
        <v>253</v>
      </c>
      <c r="D73" s="7">
        <v>0.23</v>
      </c>
      <c r="E73" s="7">
        <v>0.41650820999999999</v>
      </c>
      <c r="F73" s="7">
        <v>742</v>
      </c>
    </row>
    <row r="74" spans="1:6">
      <c r="A74" s="6" t="s">
        <v>231</v>
      </c>
      <c r="B74" s="7" t="s">
        <v>254</v>
      </c>
      <c r="C74" s="7" t="s">
        <v>255</v>
      </c>
      <c r="D74" s="7">
        <v>0.27</v>
      </c>
      <c r="E74" s="7">
        <v>0.34256908000000003</v>
      </c>
      <c r="F74" s="7">
        <v>742</v>
      </c>
    </row>
    <row r="75" spans="1:6">
      <c r="A75" s="6" t="s">
        <v>231</v>
      </c>
      <c r="B75" s="7" t="s">
        <v>256</v>
      </c>
      <c r="C75" s="7" t="s">
        <v>257</v>
      </c>
      <c r="D75" s="7">
        <v>0.38</v>
      </c>
      <c r="E75" s="7">
        <v>0.21452022000000001</v>
      </c>
      <c r="F75" s="7">
        <v>742</v>
      </c>
    </row>
    <row r="76" spans="1:6">
      <c r="A76" s="6" t="s">
        <v>231</v>
      </c>
      <c r="B76" s="7" t="s">
        <v>258</v>
      </c>
      <c r="C76" s="7" t="s">
        <v>259</v>
      </c>
      <c r="D76" s="7">
        <v>0.35</v>
      </c>
      <c r="E76" s="7">
        <v>0.135665737599999</v>
      </c>
      <c r="F76" s="7">
        <v>742</v>
      </c>
    </row>
    <row r="77" spans="1:6">
      <c r="A77" s="6" t="s">
        <v>231</v>
      </c>
      <c r="B77" s="7" t="s">
        <v>260</v>
      </c>
      <c r="C77" s="7" t="s">
        <v>261</v>
      </c>
      <c r="D77" s="7">
        <v>0.15</v>
      </c>
      <c r="E77" s="7">
        <v>0.44409501000000001</v>
      </c>
      <c r="F77" s="7">
        <v>742</v>
      </c>
    </row>
    <row r="78" spans="1:6">
      <c r="A78" s="6" t="s">
        <v>231</v>
      </c>
      <c r="B78" s="7" t="s">
        <v>262</v>
      </c>
      <c r="C78" s="7" t="s">
        <v>263</v>
      </c>
      <c r="D78" s="7">
        <v>0.33</v>
      </c>
      <c r="E78" s="7">
        <v>0.25606261199999902</v>
      </c>
      <c r="F78" s="7">
        <v>742</v>
      </c>
    </row>
    <row r="79" spans="1:6">
      <c r="A79" s="6" t="s">
        <v>231</v>
      </c>
      <c r="B79" s="7" t="s">
        <v>264</v>
      </c>
      <c r="C79" s="7" t="s">
        <v>265</v>
      </c>
      <c r="D79" s="7">
        <v>0.48</v>
      </c>
      <c r="E79" s="7">
        <v>0.18343304059999899</v>
      </c>
      <c r="F79" s="7">
        <v>742</v>
      </c>
    </row>
    <row r="80" spans="1:6">
      <c r="A80" s="6" t="s">
        <v>231</v>
      </c>
      <c r="B80" s="7" t="s">
        <v>266</v>
      </c>
      <c r="C80" s="7" t="s">
        <v>267</v>
      </c>
      <c r="D80" s="7">
        <v>0.2</v>
      </c>
      <c r="E80" s="7">
        <v>0.232914394</v>
      </c>
      <c r="F80" s="7">
        <v>742</v>
      </c>
    </row>
    <row r="81" spans="1:6">
      <c r="A81" s="6" t="s">
        <v>231</v>
      </c>
      <c r="B81" s="7" t="s">
        <v>268</v>
      </c>
      <c r="C81" s="7" t="s">
        <v>269</v>
      </c>
      <c r="D81" s="7">
        <v>-0.4</v>
      </c>
      <c r="E81" s="7">
        <v>0.23308667</v>
      </c>
      <c r="F81" s="7">
        <v>742</v>
      </c>
    </row>
    <row r="82" spans="1:6">
      <c r="A82" s="6" t="s">
        <v>231</v>
      </c>
      <c r="B82" s="7" t="s">
        <v>270</v>
      </c>
      <c r="C82" s="7" t="s">
        <v>271</v>
      </c>
      <c r="D82" s="7">
        <v>-0.4</v>
      </c>
      <c r="E82" s="7">
        <v>0.23308667</v>
      </c>
      <c r="F82" s="7">
        <v>742</v>
      </c>
    </row>
    <row r="83" spans="1:6">
      <c r="A83" s="6" t="s">
        <v>231</v>
      </c>
      <c r="B83" s="7" t="s">
        <v>272</v>
      </c>
      <c r="C83" s="7" t="s">
        <v>273</v>
      </c>
      <c r="D83" s="7">
        <v>-0.4</v>
      </c>
      <c r="E83" s="7">
        <v>0.23308667</v>
      </c>
      <c r="F83" s="7">
        <v>742</v>
      </c>
    </row>
    <row r="84" spans="1:6">
      <c r="A84" s="6" t="s">
        <v>231</v>
      </c>
      <c r="B84" s="7" t="s">
        <v>274</v>
      </c>
      <c r="C84" s="7" t="s">
        <v>275</v>
      </c>
      <c r="D84" s="7">
        <v>-0.4</v>
      </c>
      <c r="E84" s="7">
        <v>0.23308667</v>
      </c>
      <c r="F84" s="7">
        <v>742</v>
      </c>
    </row>
    <row r="85" spans="1:6">
      <c r="A85" s="6" t="s">
        <v>231</v>
      </c>
      <c r="B85" s="7" t="s">
        <v>276</v>
      </c>
      <c r="C85" s="7" t="s">
        <v>277</v>
      </c>
      <c r="D85" s="7">
        <v>-0.4</v>
      </c>
      <c r="E85" s="7">
        <v>0.23308667</v>
      </c>
      <c r="F85" s="7">
        <v>742</v>
      </c>
    </row>
    <row r="86" spans="1:6">
      <c r="A86" s="6" t="s">
        <v>231</v>
      </c>
      <c r="B86" s="7" t="s">
        <v>278</v>
      </c>
      <c r="C86" s="7" t="s">
        <v>279</v>
      </c>
      <c r="D86" s="7">
        <v>-0.4</v>
      </c>
      <c r="E86" s="7">
        <v>0.23308667</v>
      </c>
      <c r="F86" s="7">
        <v>742</v>
      </c>
    </row>
    <row r="87" spans="1:6">
      <c r="A87" s="6" t="s">
        <v>231</v>
      </c>
      <c r="B87" s="7" t="s">
        <v>280</v>
      </c>
      <c r="C87" s="7" t="s">
        <v>281</v>
      </c>
      <c r="D87" s="7">
        <v>-0.4</v>
      </c>
      <c r="E87" s="7">
        <v>0.23308667</v>
      </c>
      <c r="F87" s="7">
        <v>742</v>
      </c>
    </row>
    <row r="88" spans="1:6">
      <c r="A88" s="6" t="s">
        <v>231</v>
      </c>
      <c r="B88" s="7" t="s">
        <v>282</v>
      </c>
      <c r="C88" s="7" t="s">
        <v>283</v>
      </c>
      <c r="D88" s="7">
        <v>-0.4</v>
      </c>
      <c r="E88" s="7">
        <v>0.23308667</v>
      </c>
      <c r="F88" s="7">
        <v>742</v>
      </c>
    </row>
    <row r="89" spans="1:6">
      <c r="A89" s="6" t="s">
        <v>231</v>
      </c>
      <c r="B89" s="7" t="s">
        <v>284</v>
      </c>
      <c r="C89" s="7" t="s">
        <v>285</v>
      </c>
      <c r="D89" s="7">
        <v>-0.4</v>
      </c>
      <c r="E89" s="7">
        <v>0.23308667</v>
      </c>
      <c r="F89" s="7">
        <v>742</v>
      </c>
    </row>
    <row r="90" spans="1:6">
      <c r="A90" s="6" t="s">
        <v>231</v>
      </c>
      <c r="B90" s="7" t="s">
        <v>286</v>
      </c>
      <c r="C90" s="7" t="s">
        <v>287</v>
      </c>
      <c r="D90" s="7">
        <v>-0.4</v>
      </c>
      <c r="E90" s="7">
        <v>0.23308667</v>
      </c>
      <c r="F90" s="7">
        <v>742</v>
      </c>
    </row>
    <row r="91" spans="1:6">
      <c r="A91" s="6" t="s">
        <v>231</v>
      </c>
      <c r="B91" s="7" t="s">
        <v>288</v>
      </c>
      <c r="C91" s="7" t="s">
        <v>289</v>
      </c>
      <c r="D91" s="7">
        <v>-0.4</v>
      </c>
      <c r="E91" s="7">
        <v>0.23308667</v>
      </c>
      <c r="F91" s="7">
        <v>742</v>
      </c>
    </row>
    <row r="92" spans="1:6">
      <c r="A92" s="6" t="s">
        <v>231</v>
      </c>
      <c r="B92" s="7" t="s">
        <v>290</v>
      </c>
      <c r="C92" s="7" t="s">
        <v>291</v>
      </c>
      <c r="D92" s="7">
        <v>-0.4</v>
      </c>
      <c r="E92" s="7">
        <v>0.23308667</v>
      </c>
      <c r="F92" s="7">
        <v>742</v>
      </c>
    </row>
    <row r="93" spans="1:6">
      <c r="A93" s="6" t="s">
        <v>231</v>
      </c>
      <c r="B93" s="7" t="s">
        <v>292</v>
      </c>
      <c r="C93" s="7" t="s">
        <v>293</v>
      </c>
      <c r="D93" s="7">
        <v>-0.4</v>
      </c>
      <c r="E93" s="7">
        <v>0.23308667</v>
      </c>
      <c r="F93" s="7">
        <v>742</v>
      </c>
    </row>
    <row r="94" spans="1:6">
      <c r="A94" s="6" t="s">
        <v>231</v>
      </c>
      <c r="B94" s="7" t="s">
        <v>294</v>
      </c>
      <c r="C94" s="7" t="s">
        <v>295</v>
      </c>
      <c r="D94" s="7">
        <v>-0.4</v>
      </c>
      <c r="E94" s="7">
        <v>0.23308667</v>
      </c>
      <c r="F94" s="7">
        <v>742</v>
      </c>
    </row>
    <row r="95" spans="1:6">
      <c r="A95" s="6" t="s">
        <v>231</v>
      </c>
      <c r="B95" s="7" t="s">
        <v>296</v>
      </c>
      <c r="C95" s="7" t="s">
        <v>297</v>
      </c>
      <c r="D95" s="7">
        <v>-0.4</v>
      </c>
      <c r="E95" s="7">
        <v>0.23308667</v>
      </c>
      <c r="F95" s="7">
        <v>742</v>
      </c>
    </row>
    <row r="96" spans="1:6">
      <c r="A96" s="6" t="s">
        <v>231</v>
      </c>
      <c r="B96" s="7" t="s">
        <v>298</v>
      </c>
      <c r="C96" s="7" t="s">
        <v>299</v>
      </c>
      <c r="D96" s="7">
        <v>-0.4</v>
      </c>
      <c r="E96" s="7">
        <v>0.23308667</v>
      </c>
      <c r="F96" s="7">
        <v>742</v>
      </c>
    </row>
    <row r="97" spans="1:6">
      <c r="A97" s="6" t="s">
        <v>231</v>
      </c>
      <c r="B97" s="7" t="s">
        <v>300</v>
      </c>
      <c r="C97" s="7" t="s">
        <v>301</v>
      </c>
      <c r="D97" s="7">
        <v>-0.4</v>
      </c>
      <c r="E97" s="7">
        <v>0.23308667</v>
      </c>
      <c r="F97" s="7">
        <v>742</v>
      </c>
    </row>
    <row r="98" spans="1:6">
      <c r="A98" s="6" t="s">
        <v>231</v>
      </c>
      <c r="B98" s="7" t="s">
        <v>302</v>
      </c>
      <c r="C98" s="7" t="s">
        <v>303</v>
      </c>
      <c r="D98" s="7">
        <v>-0.4</v>
      </c>
      <c r="E98" s="7">
        <v>0.23308667</v>
      </c>
      <c r="F98" s="7">
        <v>742</v>
      </c>
    </row>
    <row r="99" spans="1:6">
      <c r="A99" s="6" t="s">
        <v>231</v>
      </c>
      <c r="B99" s="7" t="s">
        <v>304</v>
      </c>
      <c r="C99" s="7" t="s">
        <v>305</v>
      </c>
      <c r="D99" s="7">
        <v>-0.4</v>
      </c>
      <c r="E99" s="7">
        <v>0.23308667</v>
      </c>
      <c r="F99" s="7">
        <v>742</v>
      </c>
    </row>
    <row r="100" spans="1:6">
      <c r="A100" s="6" t="s">
        <v>231</v>
      </c>
      <c r="B100" s="7" t="s">
        <v>306</v>
      </c>
      <c r="C100" s="7" t="s">
        <v>307</v>
      </c>
      <c r="D100" s="7">
        <v>-0.4</v>
      </c>
      <c r="E100" s="7">
        <v>0.23308667</v>
      </c>
      <c r="F100" s="7">
        <v>742</v>
      </c>
    </row>
    <row r="101" spans="1:6">
      <c r="A101" s="6" t="s">
        <v>231</v>
      </c>
      <c r="B101" s="7" t="s">
        <v>308</v>
      </c>
      <c r="C101" s="7" t="s">
        <v>309</v>
      </c>
      <c r="D101" s="7">
        <v>-1.48</v>
      </c>
      <c r="E101" s="7">
        <v>5.8379460000000001E-2</v>
      </c>
      <c r="F101" s="7">
        <v>742</v>
      </c>
    </row>
    <row r="102" spans="1:6">
      <c r="A102" s="6" t="s">
        <v>231</v>
      </c>
      <c r="B102" s="7" t="s">
        <v>310</v>
      </c>
      <c r="C102" s="7" t="s">
        <v>311</v>
      </c>
      <c r="D102" s="7">
        <v>-1.48</v>
      </c>
      <c r="E102" s="7">
        <v>5.8379460000000001E-2</v>
      </c>
      <c r="F102" s="7">
        <v>742</v>
      </c>
    </row>
    <row r="103" spans="1:6">
      <c r="A103" s="6" t="s">
        <v>312</v>
      </c>
      <c r="B103" s="7" t="s">
        <v>313</v>
      </c>
      <c r="C103" s="7" t="s">
        <v>314</v>
      </c>
      <c r="D103" s="7">
        <v>0.27</v>
      </c>
      <c r="E103" s="7">
        <v>0.24557342599999901</v>
      </c>
      <c r="F103" s="7">
        <v>743</v>
      </c>
    </row>
    <row r="104" spans="1:6">
      <c r="A104" s="6" t="s">
        <v>312</v>
      </c>
      <c r="B104" s="7" t="s">
        <v>315</v>
      </c>
      <c r="C104" s="7" t="s">
        <v>316</v>
      </c>
      <c r="D104" s="7">
        <v>0.18</v>
      </c>
      <c r="E104" s="7">
        <v>0.24860278499999899</v>
      </c>
      <c r="F104" s="7">
        <v>743</v>
      </c>
    </row>
    <row r="105" spans="1:6">
      <c r="A105" s="6" t="s">
        <v>312</v>
      </c>
      <c r="B105" s="7" t="s">
        <v>317</v>
      </c>
      <c r="C105" s="7" t="s">
        <v>318</v>
      </c>
      <c r="D105" s="7">
        <v>0.2</v>
      </c>
      <c r="E105" s="7">
        <v>0.32577768000000001</v>
      </c>
      <c r="F105" s="7">
        <v>743</v>
      </c>
    </row>
    <row r="106" spans="1:6">
      <c r="A106" s="6" t="s">
        <v>312</v>
      </c>
      <c r="B106" s="7" t="s">
        <v>319</v>
      </c>
      <c r="C106" s="7" t="s">
        <v>320</v>
      </c>
      <c r="D106" s="7">
        <v>0.3</v>
      </c>
      <c r="E106" s="7">
        <v>0.17779492999999999</v>
      </c>
      <c r="F106" s="7">
        <v>743</v>
      </c>
    </row>
    <row r="107" spans="1:6">
      <c r="A107" s="6" t="s">
        <v>312</v>
      </c>
      <c r="B107" s="7" t="s">
        <v>286</v>
      </c>
      <c r="C107" s="7" t="s">
        <v>321</v>
      </c>
      <c r="D107" s="7">
        <v>0.3</v>
      </c>
      <c r="E107" s="7">
        <v>0.38539833000000001</v>
      </c>
      <c r="F107" s="7">
        <v>743</v>
      </c>
    </row>
    <row r="108" spans="1:6">
      <c r="A108" s="6" t="s">
        <v>312</v>
      </c>
      <c r="B108" s="7" t="s">
        <v>288</v>
      </c>
      <c r="C108" s="7" t="s">
        <v>322</v>
      </c>
      <c r="D108" s="7">
        <v>0.02</v>
      </c>
      <c r="E108" s="7">
        <v>0.40285626000000002</v>
      </c>
      <c r="F108" s="7">
        <v>743</v>
      </c>
    </row>
    <row r="109" spans="1:6">
      <c r="A109" s="6" t="s">
        <v>312</v>
      </c>
      <c r="B109" s="7" t="s">
        <v>323</v>
      </c>
      <c r="C109" s="7" t="s">
        <v>324</v>
      </c>
      <c r="D109" s="7">
        <v>0.02</v>
      </c>
      <c r="E109" s="7">
        <v>0.36307434999999999</v>
      </c>
      <c r="F109" s="7">
        <v>743</v>
      </c>
    </row>
    <row r="110" spans="1:6">
      <c r="A110" s="6" t="s">
        <v>312</v>
      </c>
      <c r="B110" s="7" t="s">
        <v>325</v>
      </c>
      <c r="C110" s="7" t="s">
        <v>326</v>
      </c>
      <c r="D110" s="7">
        <v>0.2</v>
      </c>
      <c r="E110" s="7">
        <v>0.34294765399999899</v>
      </c>
      <c r="F110" s="7">
        <v>743</v>
      </c>
    </row>
    <row r="111" spans="1:6">
      <c r="A111" s="6" t="s">
        <v>312</v>
      </c>
      <c r="B111" s="7" t="s">
        <v>327</v>
      </c>
      <c r="C111" s="7" t="s">
        <v>328</v>
      </c>
      <c r="D111" s="7">
        <v>0.15</v>
      </c>
      <c r="E111" s="7">
        <v>0.27738583</v>
      </c>
      <c r="F111" s="7">
        <v>743</v>
      </c>
    </row>
    <row r="112" spans="1:6">
      <c r="A112" s="6" t="s">
        <v>312</v>
      </c>
      <c r="B112" s="7" t="s">
        <v>290</v>
      </c>
      <c r="C112" s="7" t="s">
        <v>329</v>
      </c>
      <c r="D112" s="7">
        <v>0.2</v>
      </c>
      <c r="E112" s="7">
        <v>0.42565814999999901</v>
      </c>
      <c r="F112" s="7">
        <v>743</v>
      </c>
    </row>
    <row r="113" spans="1:6">
      <c r="A113" s="6" t="s">
        <v>312</v>
      </c>
      <c r="B113" s="7" t="s">
        <v>292</v>
      </c>
      <c r="C113" s="7" t="s">
        <v>330</v>
      </c>
      <c r="D113" s="7">
        <v>0.15</v>
      </c>
      <c r="E113" s="7">
        <v>0.36315231799999897</v>
      </c>
      <c r="F113" s="7">
        <v>743</v>
      </c>
    </row>
    <row r="114" spans="1:6">
      <c r="A114" s="6" t="s">
        <v>312</v>
      </c>
      <c r="B114" s="7" t="s">
        <v>302</v>
      </c>
      <c r="C114" s="7" t="s">
        <v>331</v>
      </c>
      <c r="D114" s="7">
        <v>0.53</v>
      </c>
      <c r="E114" s="7">
        <v>0.17903602939999999</v>
      </c>
      <c r="F114" s="7">
        <v>743</v>
      </c>
    </row>
    <row r="115" spans="1:6">
      <c r="A115" s="6" t="s">
        <v>332</v>
      </c>
      <c r="B115" s="7" t="s">
        <v>333</v>
      </c>
      <c r="C115" s="7" t="s">
        <v>334</v>
      </c>
      <c r="D115" s="7">
        <v>-1.92</v>
      </c>
      <c r="E115" s="7">
        <v>7.4558079999999999E-2</v>
      </c>
      <c r="F115" s="7">
        <v>763</v>
      </c>
    </row>
    <row r="116" spans="1:6">
      <c r="A116" s="6" t="s">
        <v>332</v>
      </c>
      <c r="B116" s="7" t="s">
        <v>335</v>
      </c>
      <c r="C116" s="7" t="s">
        <v>336</v>
      </c>
      <c r="D116" s="7">
        <v>-0.02</v>
      </c>
      <c r="E116" s="7">
        <v>0.229925294999999</v>
      </c>
      <c r="F116" s="7">
        <v>763</v>
      </c>
    </row>
    <row r="117" spans="1:6">
      <c r="A117" s="6" t="s">
        <v>332</v>
      </c>
      <c r="B117" s="7" t="s">
        <v>337</v>
      </c>
      <c r="C117" s="7" t="s">
        <v>338</v>
      </c>
      <c r="D117" s="7">
        <v>-0.17</v>
      </c>
      <c r="E117" s="7">
        <v>0.197934639</v>
      </c>
      <c r="F117" s="7">
        <v>763</v>
      </c>
    </row>
    <row r="118" spans="1:6">
      <c r="A118" s="6" t="s">
        <v>332</v>
      </c>
      <c r="B118" s="7" t="s">
        <v>339</v>
      </c>
      <c r="C118" s="7" t="s">
        <v>340</v>
      </c>
      <c r="D118" s="7">
        <v>-0.17</v>
      </c>
      <c r="E118" s="7">
        <v>0.19408012999999999</v>
      </c>
      <c r="F118" s="7">
        <v>763</v>
      </c>
    </row>
    <row r="119" spans="1:6">
      <c r="A119" s="6" t="s">
        <v>332</v>
      </c>
      <c r="B119" s="7" t="s">
        <v>341</v>
      </c>
      <c r="C119" s="7" t="s">
        <v>342</v>
      </c>
      <c r="D119" s="7">
        <v>0.05</v>
      </c>
      <c r="E119" s="7">
        <v>0.1510053227</v>
      </c>
      <c r="F119" s="7">
        <v>763</v>
      </c>
    </row>
    <row r="120" spans="1:6">
      <c r="A120" s="6" t="s">
        <v>332</v>
      </c>
      <c r="B120" s="7" t="s">
        <v>343</v>
      </c>
      <c r="C120" s="7" t="s">
        <v>344</v>
      </c>
      <c r="D120" s="7">
        <v>-0.17</v>
      </c>
      <c r="E120" s="7">
        <v>0.13442435999999999</v>
      </c>
      <c r="F120" s="7">
        <v>763</v>
      </c>
    </row>
    <row r="121" spans="1:6">
      <c r="A121" s="6" t="s">
        <v>332</v>
      </c>
      <c r="B121" s="7" t="s">
        <v>264</v>
      </c>
      <c r="C121" s="7" t="s">
        <v>345</v>
      </c>
      <c r="D121" s="7">
        <v>1.03</v>
      </c>
      <c r="E121" s="7">
        <v>0.1470812319</v>
      </c>
      <c r="F121" s="7">
        <v>763</v>
      </c>
    </row>
    <row r="122" spans="1:6">
      <c r="A122" s="6" t="s">
        <v>332</v>
      </c>
      <c r="B122" s="7" t="s">
        <v>346</v>
      </c>
      <c r="C122" s="7" t="s">
        <v>347</v>
      </c>
      <c r="D122" s="7">
        <v>0.27</v>
      </c>
      <c r="E122" s="7">
        <v>0.37392724799999999</v>
      </c>
      <c r="F122" s="7">
        <v>763</v>
      </c>
    </row>
    <row r="123" spans="1:6">
      <c r="A123" s="6" t="s">
        <v>332</v>
      </c>
      <c r="B123" s="7" t="s">
        <v>348</v>
      </c>
      <c r="C123" s="7" t="s">
        <v>349</v>
      </c>
      <c r="D123" s="7">
        <v>0.35</v>
      </c>
      <c r="E123" s="7">
        <v>0.18354202999999999</v>
      </c>
      <c r="F123" s="7">
        <v>763</v>
      </c>
    </row>
    <row r="124" spans="1:6">
      <c r="A124" s="6" t="s">
        <v>332</v>
      </c>
      <c r="B124" s="7" t="s">
        <v>268</v>
      </c>
      <c r="C124" s="7" t="s">
        <v>350</v>
      </c>
      <c r="D124" s="7">
        <v>-7.0000000000000007E-2</v>
      </c>
      <c r="E124" s="7">
        <v>0.41440868599999903</v>
      </c>
      <c r="F124" s="7">
        <v>763</v>
      </c>
    </row>
    <row r="125" spans="1:6">
      <c r="A125" s="6" t="s">
        <v>332</v>
      </c>
      <c r="B125" s="7" t="s">
        <v>270</v>
      </c>
      <c r="C125" s="7" t="s">
        <v>351</v>
      </c>
      <c r="D125" s="7">
        <v>-0.1</v>
      </c>
      <c r="E125" s="7">
        <v>0.30822892000000002</v>
      </c>
      <c r="F125" s="7">
        <v>763</v>
      </c>
    </row>
    <row r="126" spans="1:6">
      <c r="A126" s="6" t="s">
        <v>332</v>
      </c>
      <c r="B126" s="7" t="s">
        <v>352</v>
      </c>
      <c r="C126" s="7" t="s">
        <v>353</v>
      </c>
      <c r="D126" s="7">
        <v>0.57999999999999996</v>
      </c>
      <c r="E126" s="7">
        <v>0.103966024499999</v>
      </c>
      <c r="F126" s="7">
        <v>763</v>
      </c>
    </row>
    <row r="127" spans="1:6">
      <c r="A127" s="6" t="s">
        <v>332</v>
      </c>
      <c r="B127" s="7" t="s">
        <v>274</v>
      </c>
      <c r="C127" s="7" t="s">
        <v>354</v>
      </c>
      <c r="D127" s="7">
        <v>-0.15</v>
      </c>
      <c r="E127" s="7">
        <v>0.27879239</v>
      </c>
      <c r="F127" s="7">
        <v>763</v>
      </c>
    </row>
    <row r="128" spans="1:6">
      <c r="A128" s="6" t="s">
        <v>332</v>
      </c>
      <c r="B128" s="7" t="s">
        <v>355</v>
      </c>
      <c r="C128" s="7" t="s">
        <v>356</v>
      </c>
      <c r="D128" s="7">
        <v>0.15</v>
      </c>
      <c r="E128" s="7">
        <v>0.25873406999999998</v>
      </c>
      <c r="F128" s="7">
        <v>763</v>
      </c>
    </row>
    <row r="129" spans="1:6">
      <c r="A129" s="6" t="s">
        <v>332</v>
      </c>
      <c r="B129" s="7" t="s">
        <v>357</v>
      </c>
      <c r="C129" s="7" t="s">
        <v>358</v>
      </c>
      <c r="D129" s="7">
        <v>0.53</v>
      </c>
      <c r="E129" s="7">
        <v>0.13325926199999999</v>
      </c>
      <c r="F129" s="7">
        <v>763</v>
      </c>
    </row>
    <row r="130" spans="1:6">
      <c r="A130" s="6" t="s">
        <v>332</v>
      </c>
      <c r="B130" s="7" t="s">
        <v>276</v>
      </c>
      <c r="C130" s="7" t="s">
        <v>359</v>
      </c>
      <c r="D130" s="7">
        <v>0.7</v>
      </c>
      <c r="E130" s="7">
        <v>0.141259479049999</v>
      </c>
      <c r="F130" s="7">
        <v>763</v>
      </c>
    </row>
    <row r="131" spans="1:6">
      <c r="A131" s="6" t="s">
        <v>360</v>
      </c>
      <c r="B131" s="7" t="s">
        <v>361</v>
      </c>
      <c r="C131" s="7" t="s">
        <v>362</v>
      </c>
      <c r="D131" s="7">
        <v>0.3</v>
      </c>
      <c r="E131" s="7">
        <v>0.36383702000000001</v>
      </c>
      <c r="F131" s="7">
        <v>798</v>
      </c>
    </row>
    <row r="132" spans="1:6">
      <c r="A132" s="6" t="s">
        <v>360</v>
      </c>
      <c r="B132" s="7" t="s">
        <v>363</v>
      </c>
      <c r="C132" s="7" t="s">
        <v>364</v>
      </c>
      <c r="D132" s="7">
        <v>0.35</v>
      </c>
      <c r="E132" s="7">
        <v>0.26893961</v>
      </c>
      <c r="F132" s="7">
        <v>798</v>
      </c>
    </row>
    <row r="133" spans="1:6">
      <c r="A133" s="6" t="s">
        <v>360</v>
      </c>
      <c r="B133" s="7" t="s">
        <v>365</v>
      </c>
      <c r="C133" s="7" t="s">
        <v>366</v>
      </c>
      <c r="D133" s="7">
        <v>-0.15</v>
      </c>
      <c r="E133" s="7">
        <v>0.28752917</v>
      </c>
      <c r="F133" s="7">
        <v>798</v>
      </c>
    </row>
    <row r="134" spans="1:6">
      <c r="A134" s="6" t="s">
        <v>360</v>
      </c>
      <c r="B134" s="7" t="s">
        <v>339</v>
      </c>
      <c r="C134" s="7" t="s">
        <v>367</v>
      </c>
      <c r="D134" s="7">
        <v>-7.0000000000000007E-2</v>
      </c>
      <c r="E134" s="7">
        <v>0.30921173000000002</v>
      </c>
      <c r="F134" s="7">
        <v>798</v>
      </c>
    </row>
    <row r="135" spans="1:6">
      <c r="A135" s="6" t="s">
        <v>360</v>
      </c>
      <c r="B135" s="7" t="s">
        <v>313</v>
      </c>
      <c r="C135" s="7" t="s">
        <v>368</v>
      </c>
      <c r="D135" s="7">
        <v>0.4</v>
      </c>
      <c r="E135" s="7">
        <v>0.15304229</v>
      </c>
      <c r="F135" s="7">
        <v>798</v>
      </c>
    </row>
    <row r="136" spans="1:6">
      <c r="A136" s="6" t="s">
        <v>360</v>
      </c>
      <c r="B136" s="7" t="s">
        <v>369</v>
      </c>
      <c r="C136" s="7" t="s">
        <v>370</v>
      </c>
      <c r="D136" s="7">
        <v>0.3</v>
      </c>
      <c r="E136" s="7">
        <v>0.30335512999999997</v>
      </c>
      <c r="F136" s="7">
        <v>798</v>
      </c>
    </row>
    <row r="137" spans="1:6">
      <c r="A137" s="6" t="s">
        <v>360</v>
      </c>
      <c r="B137" s="7" t="s">
        <v>264</v>
      </c>
      <c r="C137" s="7" t="s">
        <v>371</v>
      </c>
      <c r="D137" s="7">
        <v>0.18</v>
      </c>
      <c r="E137" s="7">
        <v>0.2213716</v>
      </c>
      <c r="F137" s="7">
        <v>798</v>
      </c>
    </row>
    <row r="138" spans="1:6">
      <c r="A138" s="6" t="s">
        <v>360</v>
      </c>
      <c r="B138" s="7" t="s">
        <v>372</v>
      </c>
      <c r="C138" s="7" t="s">
        <v>373</v>
      </c>
      <c r="D138" s="7">
        <v>0.15</v>
      </c>
      <c r="E138" s="7">
        <v>0.2021116</v>
      </c>
      <c r="F138" s="7">
        <v>798</v>
      </c>
    </row>
    <row r="139" spans="1:6">
      <c r="A139" s="6" t="s">
        <v>360</v>
      </c>
      <c r="B139" s="7" t="s">
        <v>374</v>
      </c>
      <c r="C139" s="7" t="s">
        <v>375</v>
      </c>
      <c r="D139" s="7">
        <v>0.35</v>
      </c>
      <c r="E139" s="7">
        <v>0.482812465999999</v>
      </c>
      <c r="F139" s="7">
        <v>798</v>
      </c>
    </row>
    <row r="140" spans="1:6">
      <c r="A140" s="6" t="s">
        <v>360</v>
      </c>
      <c r="B140" s="7" t="s">
        <v>376</v>
      </c>
      <c r="C140" s="7" t="s">
        <v>377</v>
      </c>
      <c r="D140" s="7">
        <v>0.4</v>
      </c>
      <c r="E140" s="7">
        <v>0.37151727000000001</v>
      </c>
      <c r="F140" s="7">
        <v>798</v>
      </c>
    </row>
    <row r="141" spans="1:6">
      <c r="A141" s="6" t="s">
        <v>360</v>
      </c>
      <c r="B141" s="7" t="s">
        <v>317</v>
      </c>
      <c r="C141" s="7" t="s">
        <v>378</v>
      </c>
      <c r="D141" s="7">
        <v>0.35</v>
      </c>
      <c r="E141" s="7">
        <v>0.29973473</v>
      </c>
      <c r="F141" s="7">
        <v>798</v>
      </c>
    </row>
    <row r="142" spans="1:6">
      <c r="A142" s="6" t="s">
        <v>360</v>
      </c>
      <c r="B142" s="7" t="s">
        <v>346</v>
      </c>
      <c r="C142" s="7" t="s">
        <v>379</v>
      </c>
      <c r="D142" s="7">
        <v>0.43</v>
      </c>
      <c r="E142" s="7">
        <v>0.140109317899999</v>
      </c>
      <c r="F142" s="7">
        <v>798</v>
      </c>
    </row>
    <row r="143" spans="1:6">
      <c r="A143" s="6" t="s">
        <v>360</v>
      </c>
      <c r="B143" s="7" t="s">
        <v>380</v>
      </c>
      <c r="C143" s="7" t="s">
        <v>381</v>
      </c>
      <c r="D143" s="7">
        <v>0.43</v>
      </c>
      <c r="E143" s="7">
        <v>0.23938362999999999</v>
      </c>
      <c r="F143" s="7">
        <v>798</v>
      </c>
    </row>
    <row r="144" spans="1:6">
      <c r="A144" s="6" t="s">
        <v>360</v>
      </c>
      <c r="B144" s="7" t="s">
        <v>382</v>
      </c>
      <c r="C144" s="7" t="s">
        <v>383</v>
      </c>
      <c r="D144" s="7">
        <v>0.53</v>
      </c>
      <c r="E144" s="7">
        <v>0.20558651</v>
      </c>
      <c r="F144" s="7">
        <v>798</v>
      </c>
    </row>
    <row r="145" spans="1:6">
      <c r="A145" s="6" t="s">
        <v>360</v>
      </c>
      <c r="B145" s="7" t="s">
        <v>384</v>
      </c>
      <c r="C145" s="7" t="s">
        <v>385</v>
      </c>
      <c r="D145" s="7">
        <v>1.33</v>
      </c>
      <c r="E145" s="7">
        <v>0.1473832977</v>
      </c>
      <c r="F145" s="7">
        <v>798</v>
      </c>
    </row>
    <row r="146" spans="1:6">
      <c r="A146" s="6" t="s">
        <v>360</v>
      </c>
      <c r="B146" s="7" t="s">
        <v>296</v>
      </c>
      <c r="C146" s="7" t="s">
        <v>386</v>
      </c>
      <c r="D146" s="7">
        <v>0.08</v>
      </c>
      <c r="E146" s="7">
        <v>0.37558164999999999</v>
      </c>
      <c r="F146" s="7">
        <v>798</v>
      </c>
    </row>
    <row r="147" spans="1:6">
      <c r="A147" s="6" t="s">
        <v>360</v>
      </c>
      <c r="B147" s="7" t="s">
        <v>387</v>
      </c>
      <c r="C147" s="7" t="s">
        <v>388</v>
      </c>
      <c r="D147" s="7">
        <v>0.27</v>
      </c>
      <c r="E147" s="7">
        <v>0.40612048000000001</v>
      </c>
      <c r="F147" s="7">
        <v>798</v>
      </c>
    </row>
    <row r="148" spans="1:6">
      <c r="A148" s="6" t="s">
        <v>360</v>
      </c>
      <c r="B148" s="7" t="s">
        <v>389</v>
      </c>
      <c r="C148" s="7" t="s">
        <v>390</v>
      </c>
      <c r="D148" s="7">
        <v>0.4</v>
      </c>
      <c r="E148" s="7">
        <v>0.31334948000000001</v>
      </c>
      <c r="F148" s="7">
        <v>798</v>
      </c>
    </row>
    <row r="149" spans="1:6">
      <c r="A149" s="6" t="s">
        <v>360</v>
      </c>
      <c r="B149" s="7" t="s">
        <v>391</v>
      </c>
      <c r="C149" s="7" t="s">
        <v>392</v>
      </c>
      <c r="D149" s="7">
        <v>0.33</v>
      </c>
      <c r="E149" s="7">
        <v>0.29783101000000001</v>
      </c>
      <c r="F149" s="7">
        <v>798</v>
      </c>
    </row>
    <row r="150" spans="1:6">
      <c r="A150" s="6" t="s">
        <v>360</v>
      </c>
      <c r="B150" s="7" t="s">
        <v>393</v>
      </c>
      <c r="C150" s="7" t="s">
        <v>394</v>
      </c>
      <c r="D150" s="7">
        <v>0.2</v>
      </c>
      <c r="E150" s="7">
        <v>0.307595114</v>
      </c>
      <c r="F150" s="7">
        <v>798</v>
      </c>
    </row>
    <row r="151" spans="1:6">
      <c r="A151" s="6" t="s">
        <v>360</v>
      </c>
      <c r="B151" s="7" t="s">
        <v>395</v>
      </c>
      <c r="C151" s="7" t="s">
        <v>396</v>
      </c>
      <c r="D151" s="7">
        <v>0.35</v>
      </c>
      <c r="E151" s="7">
        <v>0.3320997</v>
      </c>
      <c r="F151" s="7">
        <v>798</v>
      </c>
    </row>
    <row r="152" spans="1:6">
      <c r="A152" s="6" t="s">
        <v>360</v>
      </c>
      <c r="B152" s="7" t="s">
        <v>397</v>
      </c>
      <c r="C152" s="7" t="s">
        <v>398</v>
      </c>
      <c r="D152" s="7">
        <v>0.43</v>
      </c>
      <c r="E152" s="7">
        <v>0.241480567599999</v>
      </c>
      <c r="F152" s="7">
        <v>798</v>
      </c>
    </row>
    <row r="153" spans="1:6">
      <c r="A153" s="6" t="s">
        <v>360</v>
      </c>
      <c r="B153" s="7" t="s">
        <v>399</v>
      </c>
      <c r="C153" s="7" t="s">
        <v>400</v>
      </c>
      <c r="D153" s="7">
        <v>0.33</v>
      </c>
      <c r="E153" s="7">
        <v>0.32765979000000001</v>
      </c>
      <c r="F153" s="7">
        <v>798</v>
      </c>
    </row>
    <row r="154" spans="1:6">
      <c r="A154" s="6" t="s">
        <v>360</v>
      </c>
      <c r="B154" s="7" t="s">
        <v>401</v>
      </c>
      <c r="C154" s="7" t="s">
        <v>402</v>
      </c>
      <c r="D154" s="7">
        <v>0.33</v>
      </c>
      <c r="E154" s="7">
        <v>0.46454330999999999</v>
      </c>
      <c r="F154" s="7">
        <v>798</v>
      </c>
    </row>
    <row r="155" spans="1:6">
      <c r="A155" s="6" t="s">
        <v>360</v>
      </c>
      <c r="B155" s="7" t="s">
        <v>403</v>
      </c>
      <c r="C155" s="7" t="s">
        <v>404</v>
      </c>
      <c r="D155" s="7">
        <v>0.33</v>
      </c>
      <c r="E155" s="7">
        <v>0.4823112</v>
      </c>
      <c r="F155" s="7">
        <v>798</v>
      </c>
    </row>
    <row r="156" spans="1:6">
      <c r="A156" s="6" t="s">
        <v>360</v>
      </c>
      <c r="B156" s="7" t="s">
        <v>405</v>
      </c>
      <c r="C156" s="7" t="s">
        <v>406</v>
      </c>
      <c r="D156" s="7">
        <v>0.38</v>
      </c>
      <c r="E156" s="7">
        <v>0.25351962499999903</v>
      </c>
      <c r="F156" s="7">
        <v>798</v>
      </c>
    </row>
    <row r="157" spans="1:6">
      <c r="A157" s="6" t="s">
        <v>360</v>
      </c>
      <c r="B157" s="7" t="s">
        <v>407</v>
      </c>
      <c r="C157" s="7" t="s">
        <v>408</v>
      </c>
      <c r="D157" s="7">
        <v>0.4</v>
      </c>
      <c r="E157" s="7">
        <v>0.33776343999999903</v>
      </c>
      <c r="F157" s="7">
        <v>798</v>
      </c>
    </row>
    <row r="158" spans="1:6">
      <c r="A158" s="6" t="s">
        <v>360</v>
      </c>
      <c r="B158" s="7" t="s">
        <v>409</v>
      </c>
      <c r="C158" s="7" t="s">
        <v>410</v>
      </c>
      <c r="D158" s="7">
        <v>0.38</v>
      </c>
      <c r="E158" s="7">
        <v>0.23648739699999999</v>
      </c>
      <c r="F158" s="7">
        <v>798</v>
      </c>
    </row>
    <row r="159" spans="1:6">
      <c r="A159" s="6" t="s">
        <v>360</v>
      </c>
      <c r="B159" s="7" t="s">
        <v>411</v>
      </c>
      <c r="C159" s="7" t="s">
        <v>412</v>
      </c>
      <c r="D159" s="7">
        <v>0.45</v>
      </c>
      <c r="E159" s="7">
        <v>0.18823024659999901</v>
      </c>
      <c r="F159" s="7">
        <v>798</v>
      </c>
    </row>
    <row r="160" spans="1:6">
      <c r="A160" s="6" t="s">
        <v>360</v>
      </c>
      <c r="B160" s="7" t="s">
        <v>413</v>
      </c>
      <c r="C160" s="7" t="s">
        <v>414</v>
      </c>
      <c r="D160" s="7">
        <v>0.25</v>
      </c>
      <c r="E160" s="7">
        <v>0.36759575499999902</v>
      </c>
      <c r="F160" s="7">
        <v>798</v>
      </c>
    </row>
    <row r="161" spans="1:6">
      <c r="A161" s="6" t="s">
        <v>360</v>
      </c>
      <c r="B161" s="7" t="s">
        <v>415</v>
      </c>
      <c r="C161" s="7" t="s">
        <v>416</v>
      </c>
      <c r="D161" s="7">
        <v>0.6</v>
      </c>
      <c r="E161" s="7">
        <v>0.17644211000000001</v>
      </c>
      <c r="F161" s="7">
        <v>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83203125" customWidth="1"/>
  </cols>
  <sheetData>
    <row r="1" spans="1:3">
      <c r="A1" s="11" t="s">
        <v>417</v>
      </c>
      <c r="B1" s="12" t="s">
        <v>418</v>
      </c>
      <c r="C1" s="11" t="s">
        <v>417</v>
      </c>
    </row>
    <row r="2" spans="1:3">
      <c r="A2" s="13" t="s">
        <v>419</v>
      </c>
      <c r="B2" s="14" t="s">
        <v>420</v>
      </c>
      <c r="C2" s="13" t="s">
        <v>419</v>
      </c>
    </row>
    <row r="3" spans="1:3">
      <c r="A3" s="13" t="s">
        <v>12</v>
      </c>
      <c r="B3" s="14" t="s">
        <v>421</v>
      </c>
      <c r="C3" s="13" t="s">
        <v>12</v>
      </c>
    </row>
    <row r="4" spans="1:3">
      <c r="A4" s="13" t="s">
        <v>16</v>
      </c>
      <c r="B4" s="14" t="s">
        <v>422</v>
      </c>
      <c r="C4" s="13" t="s">
        <v>16</v>
      </c>
    </row>
    <row r="5" spans="1:3">
      <c r="A5" s="13" t="s">
        <v>158</v>
      </c>
      <c r="B5" s="14" t="s">
        <v>423</v>
      </c>
      <c r="C5" s="13" t="s">
        <v>158</v>
      </c>
    </row>
    <row r="6" spans="1:3">
      <c r="A6" s="13" t="s">
        <v>214</v>
      </c>
      <c r="B6" s="14" t="s">
        <v>424</v>
      </c>
      <c r="C6" s="13" t="s">
        <v>214</v>
      </c>
    </row>
    <row r="7" spans="1:3">
      <c r="A7" s="13" t="s">
        <v>231</v>
      </c>
      <c r="B7" s="14" t="s">
        <v>425</v>
      </c>
      <c r="C7" s="13" t="s">
        <v>231</v>
      </c>
    </row>
    <row r="8" spans="1:3">
      <c r="A8" s="13" t="s">
        <v>312</v>
      </c>
      <c r="B8" s="14" t="s">
        <v>426</v>
      </c>
      <c r="C8" s="13" t="s">
        <v>312</v>
      </c>
    </row>
    <row r="9" spans="1:3">
      <c r="A9" s="13" t="s">
        <v>332</v>
      </c>
      <c r="B9" s="14" t="s">
        <v>427</v>
      </c>
      <c r="C9" s="13" t="s">
        <v>332</v>
      </c>
    </row>
    <row r="10" spans="1:3">
      <c r="A10" s="13" t="s">
        <v>360</v>
      </c>
      <c r="B10" s="14" t="s">
        <v>428</v>
      </c>
      <c r="C10" s="13" t="s">
        <v>360</v>
      </c>
    </row>
    <row r="11" spans="1:3" ht="15.75" customHeight="1">
      <c r="B11" s="15"/>
    </row>
    <row r="12" spans="1:3" ht="15.75" customHeight="1">
      <c r="B12" s="15"/>
    </row>
    <row r="13" spans="1:3" ht="15.75" customHeight="1">
      <c r="B13" s="15"/>
    </row>
    <row r="14" spans="1:3" ht="15.75" customHeight="1">
      <c r="B14" s="15"/>
    </row>
    <row r="15" spans="1:3" ht="15.75" customHeight="1">
      <c r="B15" s="15"/>
    </row>
    <row r="16" spans="1:3" ht="15.75" customHeight="1">
      <c r="B16" s="15"/>
    </row>
    <row r="17" spans="2:2" ht="15.75" customHeight="1">
      <c r="B17" s="15"/>
    </row>
    <row r="18" spans="2:2" ht="15.75" customHeight="1">
      <c r="B18" s="15"/>
    </row>
    <row r="19" spans="2:2" ht="15.75" customHeight="1">
      <c r="B19" s="15"/>
    </row>
    <row r="20" spans="2:2" ht="15.75" customHeight="1">
      <c r="B20" s="15"/>
    </row>
    <row r="21" spans="2:2" ht="15.75" customHeight="1">
      <c r="B21" s="15"/>
    </row>
    <row r="22" spans="2:2" ht="15.75" customHeight="1">
      <c r="B22" s="15"/>
    </row>
    <row r="23" spans="2:2" ht="15.75" customHeight="1">
      <c r="B23" s="15"/>
    </row>
    <row r="24" spans="2:2" ht="15.75" customHeight="1">
      <c r="B24" s="15"/>
    </row>
    <row r="25" spans="2:2" ht="15.75" customHeight="1">
      <c r="B25" s="15"/>
    </row>
    <row r="26" spans="2:2" ht="15.75" customHeight="1">
      <c r="B26" s="15"/>
    </row>
    <row r="27" spans="2:2" ht="15.75" customHeight="1">
      <c r="B27" s="15"/>
    </row>
    <row r="28" spans="2:2" ht="15.75" customHeight="1">
      <c r="B28" s="15"/>
    </row>
    <row r="29" spans="2:2" ht="15.75" customHeight="1">
      <c r="B29" s="15"/>
    </row>
    <row r="30" spans="2:2" ht="15.75" customHeight="1">
      <c r="B30" s="15"/>
    </row>
    <row r="31" spans="2:2" ht="15.75" customHeight="1">
      <c r="B31" s="15"/>
    </row>
    <row r="32" spans="2:2" ht="15.75" customHeight="1">
      <c r="B32" s="15"/>
    </row>
    <row r="33" spans="2:2" ht="15.75" customHeight="1">
      <c r="B33" s="15"/>
    </row>
    <row r="34" spans="2:2" ht="15.75" customHeight="1">
      <c r="B34" s="15"/>
    </row>
    <row r="35" spans="2:2" ht="15.75" customHeight="1">
      <c r="B35" s="15"/>
    </row>
    <row r="36" spans="2:2" ht="15.75" customHeight="1">
      <c r="B36" s="15"/>
    </row>
    <row r="37" spans="2:2" ht="15.75" customHeight="1">
      <c r="B37" s="15"/>
    </row>
    <row r="38" spans="2:2" ht="15.75" customHeight="1">
      <c r="B38" s="15"/>
    </row>
    <row r="39" spans="2:2" ht="15.75" customHeight="1">
      <c r="B39" s="15"/>
    </row>
    <row r="40" spans="2:2" ht="15.75" customHeight="1">
      <c r="B40" s="15"/>
    </row>
    <row r="41" spans="2:2" ht="15.75" customHeight="1">
      <c r="B41" s="15"/>
    </row>
    <row r="42" spans="2:2" ht="15.75" customHeight="1">
      <c r="B42" s="15"/>
    </row>
    <row r="43" spans="2:2" ht="15.75" customHeight="1">
      <c r="B43" s="15"/>
    </row>
    <row r="44" spans="2:2" ht="15.75" customHeight="1">
      <c r="B44" s="15"/>
    </row>
    <row r="45" spans="2:2" ht="15.75" customHeight="1">
      <c r="B45" s="15"/>
    </row>
    <row r="46" spans="2:2" ht="15.75" customHeight="1">
      <c r="B46" s="15"/>
    </row>
    <row r="47" spans="2:2" ht="15.75" customHeight="1">
      <c r="B47" s="15"/>
    </row>
    <row r="48" spans="2:2" ht="15.75" customHeight="1">
      <c r="B48" s="15"/>
    </row>
    <row r="49" spans="2:2" ht="15.75" customHeight="1">
      <c r="B49" s="15"/>
    </row>
    <row r="50" spans="2:2" ht="15.75" customHeight="1">
      <c r="B50" s="15"/>
    </row>
    <row r="51" spans="2:2" ht="15.75" customHeight="1">
      <c r="B51" s="15"/>
    </row>
    <row r="52" spans="2:2" ht="15.75" customHeight="1">
      <c r="B52" s="15"/>
    </row>
    <row r="53" spans="2:2" ht="13">
      <c r="B53" s="15"/>
    </row>
    <row r="54" spans="2:2" ht="13">
      <c r="B54" s="15"/>
    </row>
    <row r="55" spans="2:2" ht="13">
      <c r="B55" s="15"/>
    </row>
    <row r="56" spans="2:2" ht="13">
      <c r="B56" s="15"/>
    </row>
    <row r="57" spans="2:2" ht="13">
      <c r="B57" s="15"/>
    </row>
    <row r="58" spans="2:2" ht="13">
      <c r="B58" s="15"/>
    </row>
    <row r="59" spans="2:2" ht="13">
      <c r="B59" s="15"/>
    </row>
    <row r="60" spans="2:2" ht="13">
      <c r="B60" s="15"/>
    </row>
    <row r="61" spans="2:2" ht="13">
      <c r="B61" s="15"/>
    </row>
    <row r="62" spans="2:2" ht="13">
      <c r="B62" s="15"/>
    </row>
    <row r="63" spans="2:2" ht="13">
      <c r="B63" s="15"/>
    </row>
    <row r="64" spans="2:2" ht="13">
      <c r="B64" s="15"/>
    </row>
    <row r="65" spans="2:2" ht="13">
      <c r="B65" s="15"/>
    </row>
    <row r="66" spans="2:2" ht="13">
      <c r="B66" s="15"/>
    </row>
    <row r="67" spans="2:2" ht="13">
      <c r="B67" s="15"/>
    </row>
    <row r="68" spans="2:2" ht="13">
      <c r="B68" s="15"/>
    </row>
    <row r="69" spans="2:2" ht="13">
      <c r="B69" s="15"/>
    </row>
    <row r="70" spans="2:2" ht="13">
      <c r="B70" s="15"/>
    </row>
    <row r="71" spans="2:2" ht="13">
      <c r="B71" s="15"/>
    </row>
    <row r="72" spans="2:2" ht="13">
      <c r="B72" s="15"/>
    </row>
    <row r="73" spans="2:2" ht="13">
      <c r="B73" s="15"/>
    </row>
    <row r="74" spans="2:2" ht="13">
      <c r="B74" s="15"/>
    </row>
    <row r="75" spans="2:2" ht="13">
      <c r="B75" s="15"/>
    </row>
    <row r="76" spans="2:2" ht="13">
      <c r="B76" s="15"/>
    </row>
    <row r="77" spans="2:2" ht="13">
      <c r="B77" s="15"/>
    </row>
    <row r="78" spans="2:2" ht="13">
      <c r="B78" s="15"/>
    </row>
    <row r="79" spans="2:2" ht="13">
      <c r="B79" s="15"/>
    </row>
    <row r="80" spans="2:2" ht="13">
      <c r="B80" s="15"/>
    </row>
    <row r="81" spans="2:2" ht="13">
      <c r="B81" s="15"/>
    </row>
    <row r="82" spans="2:2" ht="13">
      <c r="B82" s="15"/>
    </row>
    <row r="83" spans="2:2" ht="13">
      <c r="B83" s="15"/>
    </row>
    <row r="84" spans="2:2" ht="13">
      <c r="B84" s="15"/>
    </row>
    <row r="85" spans="2:2" ht="13">
      <c r="B85" s="15"/>
    </row>
    <row r="86" spans="2:2" ht="13">
      <c r="B86" s="15"/>
    </row>
    <row r="87" spans="2:2" ht="13">
      <c r="B87" s="15"/>
    </row>
    <row r="88" spans="2:2" ht="13">
      <c r="B88" s="15"/>
    </row>
    <row r="89" spans="2:2" ht="13">
      <c r="B89" s="15"/>
    </row>
    <row r="90" spans="2:2" ht="13">
      <c r="B90" s="15"/>
    </row>
    <row r="91" spans="2:2" ht="13">
      <c r="B91" s="15"/>
    </row>
    <row r="92" spans="2:2" ht="13">
      <c r="B92" s="15"/>
    </row>
    <row r="93" spans="2:2" ht="13">
      <c r="B93" s="15"/>
    </row>
    <row r="94" spans="2:2" ht="13">
      <c r="B94" s="15"/>
    </row>
    <row r="95" spans="2:2" ht="13">
      <c r="B95" s="15"/>
    </row>
    <row r="96" spans="2:2" ht="13">
      <c r="B96" s="15"/>
    </row>
    <row r="97" spans="2:2" ht="13">
      <c r="B97" s="15"/>
    </row>
    <row r="98" spans="2:2" ht="13">
      <c r="B98" s="15"/>
    </row>
    <row r="99" spans="2:2" ht="13">
      <c r="B99" s="15"/>
    </row>
    <row r="100" spans="2:2" ht="13">
      <c r="B100" s="15"/>
    </row>
    <row r="101" spans="2:2" ht="13">
      <c r="B101" s="15"/>
    </row>
    <row r="102" spans="2:2" ht="13">
      <c r="B102" s="15"/>
    </row>
    <row r="103" spans="2:2" ht="13">
      <c r="B103" s="15"/>
    </row>
    <row r="104" spans="2:2" ht="13">
      <c r="B104" s="15"/>
    </row>
    <row r="105" spans="2:2" ht="13">
      <c r="B105" s="15"/>
    </row>
    <row r="106" spans="2:2" ht="13">
      <c r="B106" s="15"/>
    </row>
    <row r="107" spans="2:2" ht="13">
      <c r="B107" s="15"/>
    </row>
    <row r="108" spans="2:2" ht="13">
      <c r="B108" s="15"/>
    </row>
    <row r="109" spans="2:2" ht="13">
      <c r="B109" s="15"/>
    </row>
    <row r="110" spans="2:2" ht="13">
      <c r="B110" s="15"/>
    </row>
    <row r="111" spans="2:2" ht="13">
      <c r="B111" s="15"/>
    </row>
    <row r="112" spans="2:2" ht="13">
      <c r="B112" s="15"/>
    </row>
    <row r="113" spans="2:2" ht="13">
      <c r="B113" s="15"/>
    </row>
    <row r="114" spans="2:2" ht="13">
      <c r="B114" s="15"/>
    </row>
    <row r="115" spans="2:2" ht="13">
      <c r="B115" s="15"/>
    </row>
    <row r="116" spans="2:2" ht="13">
      <c r="B116" s="15"/>
    </row>
    <row r="117" spans="2:2" ht="13">
      <c r="B117" s="15"/>
    </row>
    <row r="118" spans="2:2" ht="13">
      <c r="B118" s="15"/>
    </row>
    <row r="119" spans="2:2" ht="13">
      <c r="B119" s="15"/>
    </row>
    <row r="120" spans="2:2" ht="13">
      <c r="B120" s="15"/>
    </row>
    <row r="121" spans="2:2" ht="13">
      <c r="B121" s="15"/>
    </row>
    <row r="122" spans="2:2" ht="13">
      <c r="B122" s="15"/>
    </row>
    <row r="123" spans="2:2" ht="13">
      <c r="B123" s="15"/>
    </row>
    <row r="124" spans="2:2" ht="13">
      <c r="B124" s="15"/>
    </row>
    <row r="125" spans="2:2" ht="13">
      <c r="B125" s="15"/>
    </row>
    <row r="126" spans="2:2" ht="13">
      <c r="B126" s="15"/>
    </row>
    <row r="127" spans="2:2" ht="13">
      <c r="B127" s="15"/>
    </row>
    <row r="128" spans="2:2" ht="13">
      <c r="B128" s="15"/>
    </row>
    <row r="129" spans="2:2" ht="13">
      <c r="B129" s="15"/>
    </row>
    <row r="130" spans="2:2" ht="13">
      <c r="B130" s="15"/>
    </row>
    <row r="131" spans="2:2" ht="13">
      <c r="B131" s="15"/>
    </row>
    <row r="132" spans="2:2" ht="13">
      <c r="B132" s="15"/>
    </row>
    <row r="133" spans="2:2" ht="13">
      <c r="B133" s="15"/>
    </row>
    <row r="134" spans="2:2" ht="13">
      <c r="B134" s="15"/>
    </row>
    <row r="135" spans="2:2" ht="13">
      <c r="B135" s="15"/>
    </row>
    <row r="136" spans="2:2" ht="13">
      <c r="B136" s="15"/>
    </row>
    <row r="137" spans="2:2" ht="13">
      <c r="B137" s="15"/>
    </row>
    <row r="138" spans="2:2" ht="13">
      <c r="B138" s="15"/>
    </row>
    <row r="139" spans="2:2" ht="13">
      <c r="B139" s="15"/>
    </row>
    <row r="140" spans="2:2" ht="13">
      <c r="B140" s="15"/>
    </row>
    <row r="141" spans="2:2" ht="13">
      <c r="B141" s="15"/>
    </row>
    <row r="142" spans="2:2" ht="13">
      <c r="B142" s="15"/>
    </row>
    <row r="143" spans="2:2" ht="13">
      <c r="B143" s="15"/>
    </row>
    <row r="144" spans="2:2" ht="13">
      <c r="B144" s="15"/>
    </row>
    <row r="145" spans="2:2" ht="13">
      <c r="B145" s="15"/>
    </row>
    <row r="146" spans="2:2" ht="13">
      <c r="B146" s="15"/>
    </row>
    <row r="147" spans="2:2" ht="13">
      <c r="B147" s="15"/>
    </row>
    <row r="148" spans="2:2" ht="13">
      <c r="B148" s="15"/>
    </row>
    <row r="149" spans="2:2" ht="13">
      <c r="B149" s="15"/>
    </row>
    <row r="150" spans="2:2" ht="13">
      <c r="B150" s="15"/>
    </row>
    <row r="151" spans="2:2" ht="13">
      <c r="B151" s="15"/>
    </row>
    <row r="152" spans="2:2" ht="13">
      <c r="B152" s="15"/>
    </row>
    <row r="153" spans="2:2" ht="13">
      <c r="B153" s="15"/>
    </row>
    <row r="154" spans="2:2" ht="13">
      <c r="B154" s="15"/>
    </row>
    <row r="155" spans="2:2" ht="13">
      <c r="B155" s="15"/>
    </row>
    <row r="156" spans="2:2" ht="13">
      <c r="B156" s="15"/>
    </row>
    <row r="157" spans="2:2" ht="13">
      <c r="B157" s="15"/>
    </row>
    <row r="158" spans="2:2" ht="13">
      <c r="B158" s="15"/>
    </row>
    <row r="159" spans="2:2" ht="13">
      <c r="B159" s="15"/>
    </row>
    <row r="160" spans="2:2" ht="13">
      <c r="B160" s="15"/>
    </row>
    <row r="161" spans="2:2" ht="13">
      <c r="B161" s="15"/>
    </row>
    <row r="162" spans="2:2" ht="13">
      <c r="B162" s="15"/>
    </row>
    <row r="163" spans="2:2" ht="13">
      <c r="B163" s="15"/>
    </row>
    <row r="164" spans="2:2" ht="13">
      <c r="B164" s="15"/>
    </row>
    <row r="165" spans="2:2" ht="13">
      <c r="B165" s="15"/>
    </row>
    <row r="166" spans="2:2" ht="13">
      <c r="B166" s="15"/>
    </row>
    <row r="167" spans="2:2" ht="13">
      <c r="B167" s="15"/>
    </row>
    <row r="168" spans="2:2" ht="13">
      <c r="B168" s="15"/>
    </row>
    <row r="169" spans="2:2" ht="13">
      <c r="B169" s="15"/>
    </row>
    <row r="170" spans="2:2" ht="13">
      <c r="B170" s="15"/>
    </row>
    <row r="171" spans="2:2" ht="13">
      <c r="B171" s="15"/>
    </row>
    <row r="172" spans="2:2" ht="13">
      <c r="B172" s="15"/>
    </row>
    <row r="173" spans="2:2" ht="13">
      <c r="B173" s="15"/>
    </row>
    <row r="174" spans="2:2" ht="13">
      <c r="B174" s="15"/>
    </row>
    <row r="175" spans="2:2" ht="13">
      <c r="B175" s="15"/>
    </row>
    <row r="176" spans="2:2" ht="13">
      <c r="B176" s="15"/>
    </row>
    <row r="177" spans="2:2" ht="13">
      <c r="B177" s="15"/>
    </row>
    <row r="178" spans="2:2" ht="13">
      <c r="B178" s="15"/>
    </row>
    <row r="179" spans="2:2" ht="13">
      <c r="B179" s="15"/>
    </row>
    <row r="180" spans="2:2" ht="13">
      <c r="B180" s="15"/>
    </row>
    <row r="181" spans="2:2" ht="13">
      <c r="B181" s="15"/>
    </row>
    <row r="182" spans="2:2" ht="13">
      <c r="B182" s="15"/>
    </row>
    <row r="183" spans="2:2" ht="13">
      <c r="B183" s="15"/>
    </row>
    <row r="184" spans="2:2" ht="13">
      <c r="B184" s="15"/>
    </row>
    <row r="185" spans="2:2" ht="13">
      <c r="B185" s="15"/>
    </row>
    <row r="186" spans="2:2" ht="13">
      <c r="B186" s="15"/>
    </row>
    <row r="187" spans="2:2" ht="13">
      <c r="B187" s="15"/>
    </row>
    <row r="188" spans="2:2" ht="13">
      <c r="B188" s="15"/>
    </row>
    <row r="189" spans="2:2" ht="13">
      <c r="B189" s="15"/>
    </row>
    <row r="190" spans="2:2" ht="13">
      <c r="B190" s="15"/>
    </row>
    <row r="191" spans="2:2" ht="13">
      <c r="B191" s="15"/>
    </row>
    <row r="192" spans="2:2" ht="13">
      <c r="B192" s="15"/>
    </row>
    <row r="193" spans="2:2" ht="13">
      <c r="B193" s="15"/>
    </row>
    <row r="194" spans="2:2" ht="13">
      <c r="B194" s="15"/>
    </row>
    <row r="195" spans="2:2" ht="13">
      <c r="B195" s="15"/>
    </row>
    <row r="196" spans="2:2" ht="13">
      <c r="B196" s="15"/>
    </row>
    <row r="197" spans="2:2" ht="13">
      <c r="B197" s="15"/>
    </row>
    <row r="198" spans="2:2" ht="13">
      <c r="B198" s="15"/>
    </row>
    <row r="199" spans="2:2" ht="13">
      <c r="B199" s="15"/>
    </row>
    <row r="200" spans="2:2" ht="13">
      <c r="B200" s="15"/>
    </row>
    <row r="201" spans="2:2" ht="13">
      <c r="B201" s="15"/>
    </row>
    <row r="202" spans="2:2" ht="13">
      <c r="B202" s="15"/>
    </row>
    <row r="203" spans="2:2" ht="13">
      <c r="B203" s="15"/>
    </row>
    <row r="204" spans="2:2" ht="13">
      <c r="B204" s="15"/>
    </row>
    <row r="205" spans="2:2" ht="13">
      <c r="B205" s="15"/>
    </row>
    <row r="206" spans="2:2" ht="13">
      <c r="B206" s="15"/>
    </row>
    <row r="207" spans="2:2" ht="13">
      <c r="B207" s="15"/>
    </row>
    <row r="208" spans="2:2" ht="13">
      <c r="B208" s="15"/>
    </row>
    <row r="209" spans="2:2" ht="13">
      <c r="B209" s="15"/>
    </row>
    <row r="210" spans="2:2" ht="13">
      <c r="B210" s="15"/>
    </row>
    <row r="211" spans="2:2" ht="13">
      <c r="B211" s="15"/>
    </row>
    <row r="212" spans="2:2" ht="13">
      <c r="B212" s="15"/>
    </row>
    <row r="213" spans="2:2" ht="13">
      <c r="B213" s="15"/>
    </row>
    <row r="214" spans="2:2" ht="13">
      <c r="B214" s="15"/>
    </row>
    <row r="215" spans="2:2" ht="13">
      <c r="B215" s="15"/>
    </row>
    <row r="216" spans="2:2" ht="13">
      <c r="B216" s="15"/>
    </row>
    <row r="217" spans="2:2" ht="13">
      <c r="B217" s="15"/>
    </row>
    <row r="218" spans="2:2" ht="13">
      <c r="B218" s="15"/>
    </row>
    <row r="219" spans="2:2" ht="13">
      <c r="B219" s="15"/>
    </row>
    <row r="220" spans="2:2" ht="13">
      <c r="B220" s="15"/>
    </row>
    <row r="221" spans="2:2" ht="13">
      <c r="B221" s="15"/>
    </row>
    <row r="222" spans="2:2" ht="13">
      <c r="B222" s="15"/>
    </row>
    <row r="223" spans="2:2" ht="13">
      <c r="B223" s="15"/>
    </row>
    <row r="224" spans="2:2" ht="13">
      <c r="B224" s="15"/>
    </row>
    <row r="225" spans="2:2" ht="13">
      <c r="B225" s="15"/>
    </row>
    <row r="226" spans="2:2" ht="13">
      <c r="B226" s="15"/>
    </row>
    <row r="227" spans="2:2" ht="13">
      <c r="B227" s="15"/>
    </row>
    <row r="228" spans="2:2" ht="13">
      <c r="B228" s="15"/>
    </row>
    <row r="229" spans="2:2" ht="13">
      <c r="B229" s="15"/>
    </row>
    <row r="230" spans="2:2" ht="13">
      <c r="B230" s="15"/>
    </row>
    <row r="231" spans="2:2" ht="13">
      <c r="B231" s="15"/>
    </row>
    <row r="232" spans="2:2" ht="13">
      <c r="B232" s="15"/>
    </row>
    <row r="233" spans="2:2" ht="13">
      <c r="B233" s="15"/>
    </row>
    <row r="234" spans="2:2" ht="13">
      <c r="B234" s="15"/>
    </row>
    <row r="235" spans="2:2" ht="13">
      <c r="B235" s="15"/>
    </row>
    <row r="236" spans="2:2" ht="13">
      <c r="B236" s="15"/>
    </row>
    <row r="237" spans="2:2" ht="13">
      <c r="B237" s="15"/>
    </row>
    <row r="238" spans="2:2" ht="13">
      <c r="B238" s="15"/>
    </row>
    <row r="239" spans="2:2" ht="13">
      <c r="B239" s="15"/>
    </row>
    <row r="240" spans="2:2" ht="13">
      <c r="B240" s="15"/>
    </row>
    <row r="241" spans="2:2" ht="13">
      <c r="B241" s="15"/>
    </row>
    <row r="242" spans="2:2" ht="13">
      <c r="B242" s="15"/>
    </row>
    <row r="243" spans="2:2" ht="13">
      <c r="B243" s="15"/>
    </row>
    <row r="244" spans="2:2" ht="13">
      <c r="B244" s="15"/>
    </row>
    <row r="245" spans="2:2" ht="13">
      <c r="B245" s="15"/>
    </row>
    <row r="246" spans="2:2" ht="13">
      <c r="B246" s="15"/>
    </row>
    <row r="247" spans="2:2" ht="13">
      <c r="B247" s="15"/>
    </row>
    <row r="248" spans="2:2" ht="13">
      <c r="B248" s="15"/>
    </row>
    <row r="249" spans="2:2" ht="13">
      <c r="B249" s="15"/>
    </row>
    <row r="250" spans="2:2" ht="13">
      <c r="B250" s="15"/>
    </row>
    <row r="251" spans="2:2" ht="13">
      <c r="B251" s="15"/>
    </row>
    <row r="252" spans="2:2" ht="13">
      <c r="B252" s="15"/>
    </row>
    <row r="253" spans="2:2" ht="13">
      <c r="B253" s="15"/>
    </row>
    <row r="254" spans="2:2" ht="13">
      <c r="B254" s="15"/>
    </row>
    <row r="255" spans="2:2" ht="13">
      <c r="B255" s="15"/>
    </row>
    <row r="256" spans="2:2" ht="13">
      <c r="B256" s="15"/>
    </row>
    <row r="257" spans="2:2" ht="13">
      <c r="B257" s="15"/>
    </row>
    <row r="258" spans="2:2" ht="13">
      <c r="B258" s="15"/>
    </row>
    <row r="259" spans="2:2" ht="13">
      <c r="B259" s="15"/>
    </row>
    <row r="260" spans="2:2" ht="13">
      <c r="B260" s="15"/>
    </row>
    <row r="261" spans="2:2" ht="13">
      <c r="B261" s="15"/>
    </row>
    <row r="262" spans="2:2" ht="13">
      <c r="B262" s="15"/>
    </row>
    <row r="263" spans="2:2" ht="13">
      <c r="B263" s="15"/>
    </row>
    <row r="264" spans="2:2" ht="13">
      <c r="B264" s="15"/>
    </row>
    <row r="265" spans="2:2" ht="13">
      <c r="B265" s="15"/>
    </row>
    <row r="266" spans="2:2" ht="13">
      <c r="B266" s="15"/>
    </row>
    <row r="267" spans="2:2" ht="13">
      <c r="B267" s="15"/>
    </row>
    <row r="268" spans="2:2" ht="13">
      <c r="B268" s="15"/>
    </row>
    <row r="269" spans="2:2" ht="13">
      <c r="B269" s="15"/>
    </row>
    <row r="270" spans="2:2" ht="13">
      <c r="B270" s="15"/>
    </row>
    <row r="271" spans="2:2" ht="13">
      <c r="B271" s="15"/>
    </row>
    <row r="272" spans="2:2" ht="13">
      <c r="B272" s="15"/>
    </row>
    <row r="273" spans="2:2" ht="13">
      <c r="B273" s="15"/>
    </row>
    <row r="274" spans="2:2" ht="13">
      <c r="B274" s="15"/>
    </row>
    <row r="275" spans="2:2" ht="13">
      <c r="B275" s="15"/>
    </row>
    <row r="276" spans="2:2" ht="13">
      <c r="B276" s="15"/>
    </row>
    <row r="277" spans="2:2" ht="13">
      <c r="B277" s="15"/>
    </row>
    <row r="278" spans="2:2" ht="13">
      <c r="B278" s="15"/>
    </row>
    <row r="279" spans="2:2" ht="13">
      <c r="B279" s="15"/>
    </row>
    <row r="280" spans="2:2" ht="13">
      <c r="B280" s="15"/>
    </row>
    <row r="281" spans="2:2" ht="13">
      <c r="B281" s="15"/>
    </row>
    <row r="282" spans="2:2" ht="13">
      <c r="B282" s="15"/>
    </row>
    <row r="283" spans="2:2" ht="13">
      <c r="B283" s="15"/>
    </row>
    <row r="284" spans="2:2" ht="13">
      <c r="B284" s="15"/>
    </row>
    <row r="285" spans="2:2" ht="13">
      <c r="B285" s="15"/>
    </row>
    <row r="286" spans="2:2" ht="13">
      <c r="B286" s="15"/>
    </row>
    <row r="287" spans="2:2" ht="13">
      <c r="B287" s="15"/>
    </row>
    <row r="288" spans="2:2" ht="13">
      <c r="B288" s="15"/>
    </row>
    <row r="289" spans="2:2" ht="13">
      <c r="B289" s="15"/>
    </row>
    <row r="290" spans="2:2" ht="13">
      <c r="B290" s="15"/>
    </row>
    <row r="291" spans="2:2" ht="13">
      <c r="B291" s="15"/>
    </row>
    <row r="292" spans="2:2" ht="13">
      <c r="B292" s="15"/>
    </row>
    <row r="293" spans="2:2" ht="13">
      <c r="B293" s="15"/>
    </row>
    <row r="294" spans="2:2" ht="13">
      <c r="B294" s="15"/>
    </row>
    <row r="295" spans="2:2" ht="13">
      <c r="B295" s="15"/>
    </row>
    <row r="296" spans="2:2" ht="13">
      <c r="B296" s="15"/>
    </row>
    <row r="297" spans="2:2" ht="13">
      <c r="B297" s="15"/>
    </row>
    <row r="298" spans="2:2" ht="13">
      <c r="B298" s="15"/>
    </row>
    <row r="299" spans="2:2" ht="13">
      <c r="B299" s="15"/>
    </row>
    <row r="300" spans="2:2" ht="13">
      <c r="B300" s="15"/>
    </row>
    <row r="301" spans="2:2" ht="13">
      <c r="B301" s="15"/>
    </row>
    <row r="302" spans="2:2" ht="13">
      <c r="B302" s="15"/>
    </row>
    <row r="303" spans="2:2" ht="13">
      <c r="B303" s="15"/>
    </row>
    <row r="304" spans="2:2" ht="13">
      <c r="B304" s="15"/>
    </row>
    <row r="305" spans="2:2" ht="13">
      <c r="B305" s="15"/>
    </row>
    <row r="306" spans="2:2" ht="13">
      <c r="B306" s="15"/>
    </row>
    <row r="307" spans="2:2" ht="13">
      <c r="B307" s="15"/>
    </row>
    <row r="308" spans="2:2" ht="13">
      <c r="B308" s="15"/>
    </row>
    <row r="309" spans="2:2" ht="13">
      <c r="B309" s="15"/>
    </row>
    <row r="310" spans="2:2" ht="13">
      <c r="B310" s="15"/>
    </row>
    <row r="311" spans="2:2" ht="13">
      <c r="B311" s="15"/>
    </row>
    <row r="312" spans="2:2" ht="13">
      <c r="B312" s="15"/>
    </row>
    <row r="313" spans="2:2" ht="13">
      <c r="B313" s="15"/>
    </row>
    <row r="314" spans="2:2" ht="13">
      <c r="B314" s="15"/>
    </row>
    <row r="315" spans="2:2" ht="13">
      <c r="B315" s="15"/>
    </row>
    <row r="316" spans="2:2" ht="13">
      <c r="B316" s="15"/>
    </row>
    <row r="317" spans="2:2" ht="13">
      <c r="B317" s="15"/>
    </row>
    <row r="318" spans="2:2" ht="13">
      <c r="B318" s="15"/>
    </row>
    <row r="319" spans="2:2" ht="13">
      <c r="B319" s="15"/>
    </row>
    <row r="320" spans="2:2" ht="13">
      <c r="B320" s="15"/>
    </row>
    <row r="321" spans="2:2" ht="13">
      <c r="B321" s="15"/>
    </row>
    <row r="322" spans="2:2" ht="13">
      <c r="B322" s="15"/>
    </row>
    <row r="323" spans="2:2" ht="13">
      <c r="B323" s="15"/>
    </row>
    <row r="324" spans="2:2" ht="13">
      <c r="B324" s="15"/>
    </row>
    <row r="325" spans="2:2" ht="13">
      <c r="B325" s="15"/>
    </row>
    <row r="326" spans="2:2" ht="13">
      <c r="B326" s="15"/>
    </row>
    <row r="327" spans="2:2" ht="13">
      <c r="B327" s="15"/>
    </row>
    <row r="328" spans="2:2" ht="13">
      <c r="B328" s="15"/>
    </row>
    <row r="329" spans="2:2" ht="13">
      <c r="B329" s="15"/>
    </row>
    <row r="330" spans="2:2" ht="13">
      <c r="B330" s="15"/>
    </row>
    <row r="331" spans="2:2" ht="13">
      <c r="B331" s="15"/>
    </row>
    <row r="332" spans="2:2" ht="13">
      <c r="B332" s="15"/>
    </row>
    <row r="333" spans="2:2" ht="13">
      <c r="B333" s="15"/>
    </row>
    <row r="334" spans="2:2" ht="13">
      <c r="B334" s="15"/>
    </row>
    <row r="335" spans="2:2" ht="13">
      <c r="B335" s="15"/>
    </row>
    <row r="336" spans="2:2" ht="13">
      <c r="B336" s="15"/>
    </row>
    <row r="337" spans="2:2" ht="13">
      <c r="B337" s="15"/>
    </row>
    <row r="338" spans="2:2" ht="13">
      <c r="B338" s="15"/>
    </row>
    <row r="339" spans="2:2" ht="13">
      <c r="B339" s="15"/>
    </row>
    <row r="340" spans="2:2" ht="13">
      <c r="B340" s="15"/>
    </row>
    <row r="341" spans="2:2" ht="13">
      <c r="B341" s="15"/>
    </row>
    <row r="342" spans="2:2" ht="13">
      <c r="B342" s="15"/>
    </row>
    <row r="343" spans="2:2" ht="13">
      <c r="B343" s="15"/>
    </row>
    <row r="344" spans="2:2" ht="13">
      <c r="B344" s="15"/>
    </row>
    <row r="345" spans="2:2" ht="13">
      <c r="B345" s="15"/>
    </row>
    <row r="346" spans="2:2" ht="13">
      <c r="B346" s="15"/>
    </row>
    <row r="347" spans="2:2" ht="13">
      <c r="B347" s="15"/>
    </row>
    <row r="348" spans="2:2" ht="13">
      <c r="B348" s="15"/>
    </row>
    <row r="349" spans="2:2" ht="13">
      <c r="B349" s="15"/>
    </row>
    <row r="350" spans="2:2" ht="13">
      <c r="B350" s="15"/>
    </row>
    <row r="351" spans="2:2" ht="13">
      <c r="B351" s="15"/>
    </row>
    <row r="352" spans="2:2" ht="13">
      <c r="B352" s="15"/>
    </row>
    <row r="353" spans="2:2" ht="13">
      <c r="B353" s="15"/>
    </row>
    <row r="354" spans="2:2" ht="13">
      <c r="B354" s="15"/>
    </row>
    <row r="355" spans="2:2" ht="13">
      <c r="B355" s="15"/>
    </row>
    <row r="356" spans="2:2" ht="13">
      <c r="B356" s="15"/>
    </row>
    <row r="357" spans="2:2" ht="13">
      <c r="B357" s="15"/>
    </row>
    <row r="358" spans="2:2" ht="13">
      <c r="B358" s="15"/>
    </row>
    <row r="359" spans="2:2" ht="13">
      <c r="B359" s="15"/>
    </row>
    <row r="360" spans="2:2" ht="13">
      <c r="B360" s="15"/>
    </row>
    <row r="361" spans="2:2" ht="13">
      <c r="B361" s="15"/>
    </row>
    <row r="362" spans="2:2" ht="13">
      <c r="B362" s="15"/>
    </row>
    <row r="363" spans="2:2" ht="13">
      <c r="B363" s="15"/>
    </row>
    <row r="364" spans="2:2" ht="13">
      <c r="B364" s="15"/>
    </row>
    <row r="365" spans="2:2" ht="13">
      <c r="B365" s="15"/>
    </row>
    <row r="366" spans="2:2" ht="13">
      <c r="B366" s="15"/>
    </row>
    <row r="367" spans="2:2" ht="13">
      <c r="B367" s="15"/>
    </row>
    <row r="368" spans="2:2" ht="13">
      <c r="B368" s="15"/>
    </row>
    <row r="369" spans="2:2" ht="13">
      <c r="B369" s="15"/>
    </row>
    <row r="370" spans="2:2" ht="13">
      <c r="B370" s="15"/>
    </row>
    <row r="371" spans="2:2" ht="13">
      <c r="B371" s="15"/>
    </row>
    <row r="372" spans="2:2" ht="13">
      <c r="B372" s="15"/>
    </row>
    <row r="373" spans="2:2" ht="13">
      <c r="B373" s="15"/>
    </row>
    <row r="374" spans="2:2" ht="13">
      <c r="B374" s="15"/>
    </row>
    <row r="375" spans="2:2" ht="13">
      <c r="B375" s="15"/>
    </row>
    <row r="376" spans="2:2" ht="13">
      <c r="B376" s="15"/>
    </row>
    <row r="377" spans="2:2" ht="13">
      <c r="B377" s="15"/>
    </row>
    <row r="378" spans="2:2" ht="13">
      <c r="B378" s="15"/>
    </row>
    <row r="379" spans="2:2" ht="13">
      <c r="B379" s="15"/>
    </row>
    <row r="380" spans="2:2" ht="13">
      <c r="B380" s="15"/>
    </row>
    <row r="381" spans="2:2" ht="13">
      <c r="B381" s="15"/>
    </row>
    <row r="382" spans="2:2" ht="13">
      <c r="B382" s="15"/>
    </row>
    <row r="383" spans="2:2" ht="13">
      <c r="B383" s="15"/>
    </row>
    <row r="384" spans="2:2" ht="13">
      <c r="B384" s="15"/>
    </row>
    <row r="385" spans="2:2" ht="13">
      <c r="B385" s="15"/>
    </row>
    <row r="386" spans="2:2" ht="13">
      <c r="B386" s="15"/>
    </row>
    <row r="387" spans="2:2" ht="13">
      <c r="B387" s="15"/>
    </row>
    <row r="388" spans="2:2" ht="13">
      <c r="B388" s="15"/>
    </row>
    <row r="389" spans="2:2" ht="13">
      <c r="B389" s="15"/>
    </row>
    <row r="390" spans="2:2" ht="13">
      <c r="B390" s="15"/>
    </row>
    <row r="391" spans="2:2" ht="13">
      <c r="B391" s="15"/>
    </row>
    <row r="392" spans="2:2" ht="13">
      <c r="B392" s="15"/>
    </row>
    <row r="393" spans="2:2" ht="13">
      <c r="B393" s="15"/>
    </row>
    <row r="394" spans="2:2" ht="13">
      <c r="B394" s="15"/>
    </row>
    <row r="395" spans="2:2" ht="13">
      <c r="B395" s="15"/>
    </row>
    <row r="396" spans="2:2" ht="13">
      <c r="B396" s="15"/>
    </row>
    <row r="397" spans="2:2" ht="13">
      <c r="B397" s="15"/>
    </row>
    <row r="398" spans="2:2" ht="13">
      <c r="B398" s="15"/>
    </row>
    <row r="399" spans="2:2" ht="13">
      <c r="B399" s="15"/>
    </row>
    <row r="400" spans="2:2" ht="13">
      <c r="B400" s="15"/>
    </row>
    <row r="401" spans="2:2" ht="13">
      <c r="B401" s="15"/>
    </row>
    <row r="402" spans="2:2" ht="13">
      <c r="B402" s="15"/>
    </row>
    <row r="403" spans="2:2" ht="13">
      <c r="B403" s="15"/>
    </row>
    <row r="404" spans="2:2" ht="13">
      <c r="B404" s="15"/>
    </row>
    <row r="405" spans="2:2" ht="13">
      <c r="B405" s="15"/>
    </row>
    <row r="406" spans="2:2" ht="13">
      <c r="B406" s="15"/>
    </row>
    <row r="407" spans="2:2" ht="13">
      <c r="B407" s="15"/>
    </row>
    <row r="408" spans="2:2" ht="13">
      <c r="B408" s="15"/>
    </row>
    <row r="409" spans="2:2" ht="13">
      <c r="B409" s="15"/>
    </row>
    <row r="410" spans="2:2" ht="13">
      <c r="B410" s="15"/>
    </row>
    <row r="411" spans="2:2" ht="13">
      <c r="B411" s="15"/>
    </row>
    <row r="412" spans="2:2" ht="13">
      <c r="B412" s="15"/>
    </row>
    <row r="413" spans="2:2" ht="13">
      <c r="B413" s="15"/>
    </row>
    <row r="414" spans="2:2" ht="13">
      <c r="B414" s="15"/>
    </row>
    <row r="415" spans="2:2" ht="13">
      <c r="B415" s="15"/>
    </row>
    <row r="416" spans="2:2" ht="13">
      <c r="B416" s="15"/>
    </row>
    <row r="417" spans="2:2" ht="13">
      <c r="B417" s="15"/>
    </row>
    <row r="418" spans="2:2" ht="13">
      <c r="B418" s="15"/>
    </row>
    <row r="419" spans="2:2" ht="13">
      <c r="B419" s="15"/>
    </row>
    <row r="420" spans="2:2" ht="13">
      <c r="B420" s="15"/>
    </row>
    <row r="421" spans="2:2" ht="13">
      <c r="B421" s="15"/>
    </row>
    <row r="422" spans="2:2" ht="13">
      <c r="B422" s="15"/>
    </row>
    <row r="423" spans="2:2" ht="13">
      <c r="B423" s="15"/>
    </row>
    <row r="424" spans="2:2" ht="13">
      <c r="B424" s="15"/>
    </row>
    <row r="425" spans="2:2" ht="13">
      <c r="B425" s="15"/>
    </row>
    <row r="426" spans="2:2" ht="13">
      <c r="B426" s="15"/>
    </row>
    <row r="427" spans="2:2" ht="13">
      <c r="B427" s="15"/>
    </row>
    <row r="428" spans="2:2" ht="13">
      <c r="B428" s="15"/>
    </row>
    <row r="429" spans="2:2" ht="13">
      <c r="B429" s="15"/>
    </row>
    <row r="430" spans="2:2" ht="13">
      <c r="B430" s="15"/>
    </row>
    <row r="431" spans="2:2" ht="13">
      <c r="B431" s="15"/>
    </row>
    <row r="432" spans="2:2" ht="13">
      <c r="B432" s="15"/>
    </row>
    <row r="433" spans="2:2" ht="13">
      <c r="B433" s="15"/>
    </row>
    <row r="434" spans="2:2" ht="13">
      <c r="B434" s="15"/>
    </row>
    <row r="435" spans="2:2" ht="13">
      <c r="B435" s="15"/>
    </row>
    <row r="436" spans="2:2" ht="13">
      <c r="B436" s="15"/>
    </row>
    <row r="437" spans="2:2" ht="13">
      <c r="B437" s="15"/>
    </row>
    <row r="438" spans="2:2" ht="13">
      <c r="B438" s="15"/>
    </row>
    <row r="439" spans="2:2" ht="13">
      <c r="B439" s="15"/>
    </row>
    <row r="440" spans="2:2" ht="13">
      <c r="B440" s="15"/>
    </row>
    <row r="441" spans="2:2" ht="13">
      <c r="B441" s="15"/>
    </row>
    <row r="442" spans="2:2" ht="13">
      <c r="B442" s="15"/>
    </row>
    <row r="443" spans="2:2" ht="13">
      <c r="B443" s="15"/>
    </row>
    <row r="444" spans="2:2" ht="13">
      <c r="B444" s="15"/>
    </row>
    <row r="445" spans="2:2" ht="13">
      <c r="B445" s="15"/>
    </row>
    <row r="446" spans="2:2" ht="13">
      <c r="B446" s="15"/>
    </row>
    <row r="447" spans="2:2" ht="13">
      <c r="B447" s="15"/>
    </row>
    <row r="448" spans="2:2" ht="13">
      <c r="B448" s="15"/>
    </row>
    <row r="449" spans="2:2" ht="13">
      <c r="B449" s="15"/>
    </row>
    <row r="450" spans="2:2" ht="13">
      <c r="B450" s="15"/>
    </row>
    <row r="451" spans="2:2" ht="13">
      <c r="B451" s="15"/>
    </row>
    <row r="452" spans="2:2" ht="13">
      <c r="B452" s="15"/>
    </row>
    <row r="453" spans="2:2" ht="13">
      <c r="B453" s="15"/>
    </row>
    <row r="454" spans="2:2" ht="13">
      <c r="B454" s="15"/>
    </row>
    <row r="455" spans="2:2" ht="13">
      <c r="B455" s="15"/>
    </row>
    <row r="456" spans="2:2" ht="13">
      <c r="B456" s="15"/>
    </row>
    <row r="457" spans="2:2" ht="13">
      <c r="B457" s="15"/>
    </row>
    <row r="458" spans="2:2" ht="13">
      <c r="B458" s="15"/>
    </row>
    <row r="459" spans="2:2" ht="13">
      <c r="B459" s="15"/>
    </row>
    <row r="460" spans="2:2" ht="13">
      <c r="B460" s="15"/>
    </row>
    <row r="461" spans="2:2" ht="13">
      <c r="B461" s="15"/>
    </row>
    <row r="462" spans="2:2" ht="13">
      <c r="B462" s="15"/>
    </row>
    <row r="463" spans="2:2" ht="13">
      <c r="B463" s="15"/>
    </row>
    <row r="464" spans="2:2" ht="13">
      <c r="B464" s="15"/>
    </row>
    <row r="465" spans="2:2" ht="13">
      <c r="B465" s="15"/>
    </row>
    <row r="466" spans="2:2" ht="13">
      <c r="B466" s="15"/>
    </row>
    <row r="467" spans="2:2" ht="13">
      <c r="B467" s="15"/>
    </row>
    <row r="468" spans="2:2" ht="13">
      <c r="B468" s="15"/>
    </row>
    <row r="469" spans="2:2" ht="13">
      <c r="B469" s="15"/>
    </row>
    <row r="470" spans="2:2" ht="13">
      <c r="B470" s="15"/>
    </row>
    <row r="471" spans="2:2" ht="13">
      <c r="B471" s="15"/>
    </row>
    <row r="472" spans="2:2" ht="13">
      <c r="B472" s="15"/>
    </row>
    <row r="473" spans="2:2" ht="13">
      <c r="B473" s="15"/>
    </row>
    <row r="474" spans="2:2" ht="13">
      <c r="B474" s="15"/>
    </row>
    <row r="475" spans="2:2" ht="13">
      <c r="B475" s="15"/>
    </row>
    <row r="476" spans="2:2" ht="13">
      <c r="B476" s="15"/>
    </row>
    <row r="477" spans="2:2" ht="13">
      <c r="B477" s="15"/>
    </row>
    <row r="478" spans="2:2" ht="13">
      <c r="B478" s="15"/>
    </row>
    <row r="479" spans="2:2" ht="13">
      <c r="B479" s="15"/>
    </row>
    <row r="480" spans="2:2" ht="13">
      <c r="B480" s="15"/>
    </row>
    <row r="481" spans="2:2" ht="13">
      <c r="B481" s="15"/>
    </row>
    <row r="482" spans="2:2" ht="13">
      <c r="B482" s="15"/>
    </row>
    <row r="483" spans="2:2" ht="13">
      <c r="B483" s="15"/>
    </row>
    <row r="484" spans="2:2" ht="13">
      <c r="B484" s="15"/>
    </row>
    <row r="485" spans="2:2" ht="13">
      <c r="B485" s="15"/>
    </row>
    <row r="486" spans="2:2" ht="13">
      <c r="B486" s="15"/>
    </row>
    <row r="487" spans="2:2" ht="13">
      <c r="B487" s="15"/>
    </row>
    <row r="488" spans="2:2" ht="13">
      <c r="B488" s="15"/>
    </row>
    <row r="489" spans="2:2" ht="13">
      <c r="B489" s="15"/>
    </row>
    <row r="490" spans="2:2" ht="13">
      <c r="B490" s="15"/>
    </row>
    <row r="491" spans="2:2" ht="13">
      <c r="B491" s="15"/>
    </row>
    <row r="492" spans="2:2" ht="13">
      <c r="B492" s="15"/>
    </row>
    <row r="493" spans="2:2" ht="13">
      <c r="B493" s="15"/>
    </row>
    <row r="494" spans="2:2" ht="13">
      <c r="B494" s="15"/>
    </row>
    <row r="495" spans="2:2" ht="13">
      <c r="B495" s="15"/>
    </row>
    <row r="496" spans="2:2" ht="13">
      <c r="B496" s="15"/>
    </row>
    <row r="497" spans="2:2" ht="13">
      <c r="B497" s="15"/>
    </row>
    <row r="498" spans="2:2" ht="13">
      <c r="B498" s="15"/>
    </row>
    <row r="499" spans="2:2" ht="13">
      <c r="B499" s="15"/>
    </row>
    <row r="500" spans="2:2" ht="13">
      <c r="B500" s="15"/>
    </row>
    <row r="501" spans="2:2" ht="13">
      <c r="B501" s="15"/>
    </row>
    <row r="502" spans="2:2" ht="13">
      <c r="B502" s="15"/>
    </row>
    <row r="503" spans="2:2" ht="13">
      <c r="B503" s="15"/>
    </row>
    <row r="504" spans="2:2" ht="13">
      <c r="B504" s="15"/>
    </row>
    <row r="505" spans="2:2" ht="13">
      <c r="B505" s="15"/>
    </row>
    <row r="506" spans="2:2" ht="13">
      <c r="B506" s="15"/>
    </row>
    <row r="507" spans="2:2" ht="13">
      <c r="B507" s="15"/>
    </row>
    <row r="508" spans="2:2" ht="13">
      <c r="B508" s="15"/>
    </row>
    <row r="509" spans="2:2" ht="13">
      <c r="B509" s="15"/>
    </row>
    <row r="510" spans="2:2" ht="13">
      <c r="B510" s="15"/>
    </row>
    <row r="511" spans="2:2" ht="13">
      <c r="B511" s="15"/>
    </row>
    <row r="512" spans="2:2" ht="13">
      <c r="B512" s="15"/>
    </row>
    <row r="513" spans="2:2" ht="13">
      <c r="B513" s="15"/>
    </row>
    <row r="514" spans="2:2" ht="13">
      <c r="B514" s="15"/>
    </row>
    <row r="515" spans="2:2" ht="13">
      <c r="B515" s="15"/>
    </row>
    <row r="516" spans="2:2" ht="13">
      <c r="B516" s="15"/>
    </row>
    <row r="517" spans="2:2" ht="13">
      <c r="B517" s="15"/>
    </row>
    <row r="518" spans="2:2" ht="13">
      <c r="B518" s="15"/>
    </row>
    <row r="519" spans="2:2" ht="13">
      <c r="B519" s="15"/>
    </row>
    <row r="520" spans="2:2" ht="13">
      <c r="B520" s="15"/>
    </row>
    <row r="521" spans="2:2" ht="13">
      <c r="B521" s="15"/>
    </row>
    <row r="522" spans="2:2" ht="13">
      <c r="B522" s="15"/>
    </row>
    <row r="523" spans="2:2" ht="13">
      <c r="B523" s="15"/>
    </row>
    <row r="524" spans="2:2" ht="13">
      <c r="B524" s="15"/>
    </row>
    <row r="525" spans="2:2" ht="13">
      <c r="B525" s="15"/>
    </row>
    <row r="526" spans="2:2" ht="13">
      <c r="B526" s="15"/>
    </row>
    <row r="527" spans="2:2" ht="13">
      <c r="B527" s="15"/>
    </row>
    <row r="528" spans="2:2" ht="13">
      <c r="B528" s="15"/>
    </row>
    <row r="529" spans="2:2" ht="13">
      <c r="B529" s="15"/>
    </row>
    <row r="530" spans="2:2" ht="13">
      <c r="B530" s="15"/>
    </row>
    <row r="531" spans="2:2" ht="13">
      <c r="B531" s="15"/>
    </row>
    <row r="532" spans="2:2" ht="13">
      <c r="B532" s="15"/>
    </row>
    <row r="533" spans="2:2" ht="13">
      <c r="B533" s="15"/>
    </row>
    <row r="534" spans="2:2" ht="13">
      <c r="B534" s="15"/>
    </row>
    <row r="535" spans="2:2" ht="13">
      <c r="B535" s="15"/>
    </row>
    <row r="536" spans="2:2" ht="13">
      <c r="B536" s="15"/>
    </row>
    <row r="537" spans="2:2" ht="13">
      <c r="B537" s="15"/>
    </row>
    <row r="538" spans="2:2" ht="13">
      <c r="B538" s="15"/>
    </row>
    <row r="539" spans="2:2" ht="13">
      <c r="B539" s="15"/>
    </row>
    <row r="540" spans="2:2" ht="13">
      <c r="B540" s="15"/>
    </row>
    <row r="541" spans="2:2" ht="13">
      <c r="B541" s="15"/>
    </row>
    <row r="542" spans="2:2" ht="13">
      <c r="B542" s="15"/>
    </row>
    <row r="543" spans="2:2" ht="13">
      <c r="B543" s="15"/>
    </row>
    <row r="544" spans="2:2" ht="13">
      <c r="B544" s="15"/>
    </row>
    <row r="545" spans="2:2" ht="13">
      <c r="B545" s="15"/>
    </row>
    <row r="546" spans="2:2" ht="13">
      <c r="B546" s="15"/>
    </row>
    <row r="547" spans="2:2" ht="13">
      <c r="B547" s="15"/>
    </row>
    <row r="548" spans="2:2" ht="13">
      <c r="B548" s="15"/>
    </row>
    <row r="549" spans="2:2" ht="13">
      <c r="B549" s="15"/>
    </row>
    <row r="550" spans="2:2" ht="13">
      <c r="B550" s="15"/>
    </row>
    <row r="551" spans="2:2" ht="13">
      <c r="B551" s="15"/>
    </row>
    <row r="552" spans="2:2" ht="13">
      <c r="B552" s="15"/>
    </row>
    <row r="553" spans="2:2" ht="13">
      <c r="B553" s="15"/>
    </row>
    <row r="554" spans="2:2" ht="13">
      <c r="B554" s="15"/>
    </row>
    <row r="555" spans="2:2" ht="13">
      <c r="B555" s="15"/>
    </row>
    <row r="556" spans="2:2" ht="13">
      <c r="B556" s="15"/>
    </row>
    <row r="557" spans="2:2" ht="13">
      <c r="B557" s="15"/>
    </row>
    <row r="558" spans="2:2" ht="13">
      <c r="B558" s="15"/>
    </row>
    <row r="559" spans="2:2" ht="13">
      <c r="B559" s="15"/>
    </row>
    <row r="560" spans="2:2" ht="13">
      <c r="B560" s="15"/>
    </row>
    <row r="561" spans="2:2" ht="13">
      <c r="B561" s="15"/>
    </row>
    <row r="562" spans="2:2" ht="13">
      <c r="B562" s="15"/>
    </row>
    <row r="563" spans="2:2" ht="13">
      <c r="B563" s="15"/>
    </row>
    <row r="564" spans="2:2" ht="13">
      <c r="B564" s="15"/>
    </row>
    <row r="565" spans="2:2" ht="13">
      <c r="B565" s="15"/>
    </row>
    <row r="566" spans="2:2" ht="13">
      <c r="B566" s="15"/>
    </row>
    <row r="567" spans="2:2" ht="13">
      <c r="B567" s="15"/>
    </row>
    <row r="568" spans="2:2" ht="13">
      <c r="B568" s="15"/>
    </row>
    <row r="569" spans="2:2" ht="13">
      <c r="B569" s="15"/>
    </row>
    <row r="570" spans="2:2" ht="13">
      <c r="B570" s="15"/>
    </row>
    <row r="571" spans="2:2" ht="13">
      <c r="B571" s="15"/>
    </row>
    <row r="572" spans="2:2" ht="13">
      <c r="B572" s="15"/>
    </row>
    <row r="573" spans="2:2" ht="13">
      <c r="B573" s="15"/>
    </row>
    <row r="574" spans="2:2" ht="13">
      <c r="B574" s="15"/>
    </row>
    <row r="575" spans="2:2" ht="13">
      <c r="B575" s="15"/>
    </row>
    <row r="576" spans="2:2" ht="13">
      <c r="B576" s="15"/>
    </row>
    <row r="577" spans="2:2" ht="13">
      <c r="B577" s="15"/>
    </row>
    <row r="578" spans="2:2" ht="13">
      <c r="B578" s="15"/>
    </row>
    <row r="579" spans="2:2" ht="13">
      <c r="B579" s="15"/>
    </row>
    <row r="580" spans="2:2" ht="13">
      <c r="B580" s="15"/>
    </row>
    <row r="581" spans="2:2" ht="13">
      <c r="B581" s="15"/>
    </row>
    <row r="582" spans="2:2" ht="13">
      <c r="B582" s="15"/>
    </row>
    <row r="583" spans="2:2" ht="13">
      <c r="B583" s="15"/>
    </row>
    <row r="584" spans="2:2" ht="13">
      <c r="B584" s="15"/>
    </row>
    <row r="585" spans="2:2" ht="13">
      <c r="B585" s="15"/>
    </row>
    <row r="586" spans="2:2" ht="13">
      <c r="B586" s="15"/>
    </row>
    <row r="587" spans="2:2" ht="13">
      <c r="B587" s="15"/>
    </row>
    <row r="588" spans="2:2" ht="13">
      <c r="B588" s="15"/>
    </row>
    <row r="589" spans="2:2" ht="13">
      <c r="B589" s="15"/>
    </row>
    <row r="590" spans="2:2" ht="13">
      <c r="B590" s="15"/>
    </row>
    <row r="591" spans="2:2" ht="13">
      <c r="B591" s="15"/>
    </row>
    <row r="592" spans="2:2" ht="13">
      <c r="B592" s="15"/>
    </row>
    <row r="593" spans="2:2" ht="13">
      <c r="B593" s="15"/>
    </row>
    <row r="594" spans="2:2" ht="13">
      <c r="B594" s="15"/>
    </row>
    <row r="595" spans="2:2" ht="13">
      <c r="B595" s="15"/>
    </row>
    <row r="596" spans="2:2" ht="13">
      <c r="B596" s="15"/>
    </row>
    <row r="597" spans="2:2" ht="13">
      <c r="B597" s="15"/>
    </row>
    <row r="598" spans="2:2" ht="13">
      <c r="B598" s="15"/>
    </row>
    <row r="599" spans="2:2" ht="13">
      <c r="B599" s="15"/>
    </row>
    <row r="600" spans="2:2" ht="13">
      <c r="B600" s="15"/>
    </row>
    <row r="601" spans="2:2" ht="13">
      <c r="B601" s="15"/>
    </row>
    <row r="602" spans="2:2" ht="13">
      <c r="B602" s="15"/>
    </row>
    <row r="603" spans="2:2" ht="13">
      <c r="B603" s="15"/>
    </row>
    <row r="604" spans="2:2" ht="13">
      <c r="B604" s="15"/>
    </row>
    <row r="605" spans="2:2" ht="13">
      <c r="B605" s="15"/>
    </row>
    <row r="606" spans="2:2" ht="13">
      <c r="B606" s="15"/>
    </row>
    <row r="607" spans="2:2" ht="13">
      <c r="B607" s="15"/>
    </row>
    <row r="608" spans="2:2" ht="13">
      <c r="B608" s="15"/>
    </row>
    <row r="609" spans="2:2" ht="13">
      <c r="B609" s="15"/>
    </row>
    <row r="610" spans="2:2" ht="13">
      <c r="B610" s="15"/>
    </row>
    <row r="611" spans="2:2" ht="13">
      <c r="B611" s="15"/>
    </row>
    <row r="612" spans="2:2" ht="13">
      <c r="B612" s="15"/>
    </row>
    <row r="613" spans="2:2" ht="13">
      <c r="B613" s="15"/>
    </row>
    <row r="614" spans="2:2" ht="13">
      <c r="B614" s="15"/>
    </row>
    <row r="615" spans="2:2" ht="13">
      <c r="B615" s="15"/>
    </row>
    <row r="616" spans="2:2" ht="13">
      <c r="B616" s="15"/>
    </row>
    <row r="617" spans="2:2" ht="13">
      <c r="B617" s="15"/>
    </row>
    <row r="618" spans="2:2" ht="13">
      <c r="B618" s="15"/>
    </row>
    <row r="619" spans="2:2" ht="13">
      <c r="B619" s="15"/>
    </row>
    <row r="620" spans="2:2" ht="13">
      <c r="B620" s="15"/>
    </row>
    <row r="621" spans="2:2" ht="13">
      <c r="B621" s="15"/>
    </row>
    <row r="622" spans="2:2" ht="13">
      <c r="B622" s="15"/>
    </row>
    <row r="623" spans="2:2" ht="13">
      <c r="B623" s="15"/>
    </row>
    <row r="624" spans="2:2" ht="13">
      <c r="B624" s="15"/>
    </row>
    <row r="625" spans="2:2" ht="13">
      <c r="B625" s="15"/>
    </row>
    <row r="626" spans="2:2" ht="13">
      <c r="B626" s="15"/>
    </row>
    <row r="627" spans="2:2" ht="13">
      <c r="B627" s="15"/>
    </row>
    <row r="628" spans="2:2" ht="13">
      <c r="B628" s="15"/>
    </row>
    <row r="629" spans="2:2" ht="13">
      <c r="B629" s="15"/>
    </row>
    <row r="630" spans="2:2" ht="13">
      <c r="B630" s="15"/>
    </row>
    <row r="631" spans="2:2" ht="13">
      <c r="B631" s="15"/>
    </row>
    <row r="632" spans="2:2" ht="13">
      <c r="B632" s="15"/>
    </row>
    <row r="633" spans="2:2" ht="13">
      <c r="B633" s="15"/>
    </row>
    <row r="634" spans="2:2" ht="13">
      <c r="B634" s="15"/>
    </row>
    <row r="635" spans="2:2" ht="13">
      <c r="B635" s="15"/>
    </row>
    <row r="636" spans="2:2" ht="13">
      <c r="B636" s="15"/>
    </row>
    <row r="637" spans="2:2" ht="13">
      <c r="B637" s="15"/>
    </row>
    <row r="638" spans="2:2" ht="13">
      <c r="B638" s="15"/>
    </row>
    <row r="639" spans="2:2" ht="13">
      <c r="B639" s="15"/>
    </row>
    <row r="640" spans="2:2" ht="13">
      <c r="B640" s="15"/>
    </row>
    <row r="641" spans="2:2" ht="13">
      <c r="B641" s="15"/>
    </row>
    <row r="642" spans="2:2" ht="13">
      <c r="B642" s="15"/>
    </row>
    <row r="643" spans="2:2" ht="13">
      <c r="B643" s="15"/>
    </row>
    <row r="644" spans="2:2" ht="13">
      <c r="B644" s="15"/>
    </row>
    <row r="645" spans="2:2" ht="13">
      <c r="B645" s="15"/>
    </row>
    <row r="646" spans="2:2" ht="13">
      <c r="B646" s="15"/>
    </row>
    <row r="647" spans="2:2" ht="13">
      <c r="B647" s="15"/>
    </row>
    <row r="648" spans="2:2" ht="13">
      <c r="B648" s="15"/>
    </row>
    <row r="649" spans="2:2" ht="13">
      <c r="B649" s="15"/>
    </row>
    <row r="650" spans="2:2" ht="13">
      <c r="B650" s="15"/>
    </row>
    <row r="651" spans="2:2" ht="13">
      <c r="B651" s="15"/>
    </row>
    <row r="652" spans="2:2" ht="13">
      <c r="B652" s="15"/>
    </row>
    <row r="653" spans="2:2" ht="13">
      <c r="B653" s="15"/>
    </row>
    <row r="654" spans="2:2" ht="13">
      <c r="B654" s="15"/>
    </row>
    <row r="655" spans="2:2" ht="13">
      <c r="B655" s="15"/>
    </row>
    <row r="656" spans="2:2" ht="13">
      <c r="B656" s="15"/>
    </row>
    <row r="657" spans="2:2" ht="13">
      <c r="B657" s="15"/>
    </row>
    <row r="658" spans="2:2" ht="13">
      <c r="B658" s="15"/>
    </row>
    <row r="659" spans="2:2" ht="13">
      <c r="B659" s="15"/>
    </row>
    <row r="660" spans="2:2" ht="13">
      <c r="B660" s="15"/>
    </row>
    <row r="661" spans="2:2" ht="13">
      <c r="B661" s="15"/>
    </row>
    <row r="662" spans="2:2" ht="13">
      <c r="B662" s="15"/>
    </row>
    <row r="663" spans="2:2" ht="13">
      <c r="B663" s="15"/>
    </row>
    <row r="664" spans="2:2" ht="13">
      <c r="B664" s="15"/>
    </row>
    <row r="665" spans="2:2" ht="13">
      <c r="B665" s="15"/>
    </row>
    <row r="666" spans="2:2" ht="13">
      <c r="B666" s="15"/>
    </row>
    <row r="667" spans="2:2" ht="13">
      <c r="B667" s="15"/>
    </row>
    <row r="668" spans="2:2" ht="13">
      <c r="B668" s="15"/>
    </row>
    <row r="669" spans="2:2" ht="13">
      <c r="B669" s="15"/>
    </row>
    <row r="670" spans="2:2" ht="13">
      <c r="B670" s="15"/>
    </row>
    <row r="671" spans="2:2" ht="13">
      <c r="B671" s="15"/>
    </row>
    <row r="672" spans="2:2" ht="13">
      <c r="B672" s="15"/>
    </row>
    <row r="673" spans="2:2" ht="13">
      <c r="B673" s="15"/>
    </row>
    <row r="674" spans="2:2" ht="13">
      <c r="B674" s="15"/>
    </row>
    <row r="675" spans="2:2" ht="13">
      <c r="B675" s="15"/>
    </row>
    <row r="676" spans="2:2" ht="13">
      <c r="B676" s="15"/>
    </row>
    <row r="677" spans="2:2" ht="13">
      <c r="B677" s="15"/>
    </row>
    <row r="678" spans="2:2" ht="13">
      <c r="B678" s="15"/>
    </row>
    <row r="679" spans="2:2" ht="13">
      <c r="B679" s="15"/>
    </row>
    <row r="680" spans="2:2" ht="13">
      <c r="B680" s="15"/>
    </row>
    <row r="681" spans="2:2" ht="13">
      <c r="B681" s="15"/>
    </row>
    <row r="682" spans="2:2" ht="13">
      <c r="B682" s="15"/>
    </row>
    <row r="683" spans="2:2" ht="13">
      <c r="B683" s="15"/>
    </row>
    <row r="684" spans="2:2" ht="13">
      <c r="B684" s="15"/>
    </row>
    <row r="685" spans="2:2" ht="13">
      <c r="B685" s="15"/>
    </row>
    <row r="686" spans="2:2" ht="13">
      <c r="B686" s="15"/>
    </row>
    <row r="687" spans="2:2" ht="13">
      <c r="B687" s="15"/>
    </row>
    <row r="688" spans="2:2" ht="13">
      <c r="B688" s="15"/>
    </row>
    <row r="689" spans="2:2" ht="13">
      <c r="B689" s="15"/>
    </row>
    <row r="690" spans="2:2" ht="13">
      <c r="B690" s="15"/>
    </row>
    <row r="691" spans="2:2" ht="13">
      <c r="B691" s="15"/>
    </row>
    <row r="692" spans="2:2" ht="13">
      <c r="B692" s="15"/>
    </row>
    <row r="693" spans="2:2" ht="13">
      <c r="B693" s="15"/>
    </row>
    <row r="694" spans="2:2" ht="13">
      <c r="B694" s="15"/>
    </row>
    <row r="695" spans="2:2" ht="13">
      <c r="B695" s="15"/>
    </row>
    <row r="696" spans="2:2" ht="13">
      <c r="B696" s="15"/>
    </row>
    <row r="697" spans="2:2" ht="13">
      <c r="B697" s="15"/>
    </row>
    <row r="698" spans="2:2" ht="13">
      <c r="B698" s="15"/>
    </row>
    <row r="699" spans="2:2" ht="13">
      <c r="B699" s="15"/>
    </row>
    <row r="700" spans="2:2" ht="13">
      <c r="B700" s="15"/>
    </row>
    <row r="701" spans="2:2" ht="13">
      <c r="B701" s="15"/>
    </row>
    <row r="702" spans="2:2" ht="13">
      <c r="B702" s="15"/>
    </row>
    <row r="703" spans="2:2" ht="13">
      <c r="B703" s="15"/>
    </row>
    <row r="704" spans="2:2" ht="13">
      <c r="B704" s="15"/>
    </row>
    <row r="705" spans="2:2" ht="13">
      <c r="B705" s="15"/>
    </row>
    <row r="706" spans="2:2" ht="13">
      <c r="B706" s="15"/>
    </row>
    <row r="707" spans="2:2" ht="13">
      <c r="B707" s="15"/>
    </row>
    <row r="708" spans="2:2" ht="13">
      <c r="B708" s="15"/>
    </row>
    <row r="709" spans="2:2" ht="13">
      <c r="B709" s="15"/>
    </row>
    <row r="710" spans="2:2" ht="13">
      <c r="B710" s="15"/>
    </row>
    <row r="711" spans="2:2" ht="13">
      <c r="B711" s="15"/>
    </row>
    <row r="712" spans="2:2" ht="13">
      <c r="B712" s="15"/>
    </row>
    <row r="713" spans="2:2" ht="13">
      <c r="B713" s="15"/>
    </row>
    <row r="714" spans="2:2" ht="13">
      <c r="B714" s="15"/>
    </row>
    <row r="715" spans="2:2" ht="13">
      <c r="B715" s="15"/>
    </row>
    <row r="716" spans="2:2" ht="13">
      <c r="B716" s="15"/>
    </row>
    <row r="717" spans="2:2" ht="13">
      <c r="B717" s="15"/>
    </row>
    <row r="718" spans="2:2" ht="13">
      <c r="B718" s="15"/>
    </row>
    <row r="719" spans="2:2" ht="13">
      <c r="B719" s="15"/>
    </row>
    <row r="720" spans="2:2" ht="13">
      <c r="B720" s="15"/>
    </row>
    <row r="721" spans="2:2" ht="13">
      <c r="B721" s="15"/>
    </row>
    <row r="722" spans="2:2" ht="13">
      <c r="B722" s="15"/>
    </row>
    <row r="723" spans="2:2" ht="13">
      <c r="B723" s="15"/>
    </row>
    <row r="724" spans="2:2" ht="13">
      <c r="B724" s="15"/>
    </row>
    <row r="725" spans="2:2" ht="13">
      <c r="B725" s="15"/>
    </row>
    <row r="726" spans="2:2" ht="13">
      <c r="B726" s="15"/>
    </row>
    <row r="727" spans="2:2" ht="13">
      <c r="B727" s="15"/>
    </row>
    <row r="728" spans="2:2" ht="13">
      <c r="B728" s="15"/>
    </row>
    <row r="729" spans="2:2" ht="13">
      <c r="B729" s="15"/>
    </row>
    <row r="730" spans="2:2" ht="13">
      <c r="B730" s="15"/>
    </row>
    <row r="731" spans="2:2" ht="13">
      <c r="B731" s="15"/>
    </row>
    <row r="732" spans="2:2" ht="13">
      <c r="B732" s="15"/>
    </row>
    <row r="733" spans="2:2" ht="13">
      <c r="B733" s="15"/>
    </row>
    <row r="734" spans="2:2" ht="13">
      <c r="B734" s="15"/>
    </row>
    <row r="735" spans="2:2" ht="13">
      <c r="B735" s="15"/>
    </row>
    <row r="736" spans="2:2" ht="13">
      <c r="B736" s="15"/>
    </row>
    <row r="737" spans="2:2" ht="13">
      <c r="B737" s="15"/>
    </row>
    <row r="738" spans="2:2" ht="13">
      <c r="B738" s="15"/>
    </row>
    <row r="739" spans="2:2" ht="13">
      <c r="B739" s="15"/>
    </row>
    <row r="740" spans="2:2" ht="13">
      <c r="B740" s="15"/>
    </row>
    <row r="741" spans="2:2" ht="13">
      <c r="B741" s="15"/>
    </row>
    <row r="742" spans="2:2" ht="13">
      <c r="B742" s="15"/>
    </row>
    <row r="743" spans="2:2" ht="13">
      <c r="B743" s="15"/>
    </row>
    <row r="744" spans="2:2" ht="13">
      <c r="B744" s="15"/>
    </row>
    <row r="745" spans="2:2" ht="13">
      <c r="B745" s="15"/>
    </row>
    <row r="746" spans="2:2" ht="13">
      <c r="B746" s="15"/>
    </row>
    <row r="747" spans="2:2" ht="13">
      <c r="B747" s="15"/>
    </row>
    <row r="748" spans="2:2" ht="13">
      <c r="B748" s="15"/>
    </row>
    <row r="749" spans="2:2" ht="13">
      <c r="B749" s="15"/>
    </row>
    <row r="750" spans="2:2" ht="13">
      <c r="B750" s="15"/>
    </row>
    <row r="751" spans="2:2" ht="13">
      <c r="B751" s="15"/>
    </row>
    <row r="752" spans="2:2" ht="13">
      <c r="B752" s="15"/>
    </row>
    <row r="753" spans="2:2" ht="13">
      <c r="B753" s="15"/>
    </row>
    <row r="754" spans="2:2" ht="13">
      <c r="B754" s="15"/>
    </row>
    <row r="755" spans="2:2" ht="13">
      <c r="B755" s="15"/>
    </row>
    <row r="756" spans="2:2" ht="13">
      <c r="B756" s="15"/>
    </row>
    <row r="757" spans="2:2" ht="13">
      <c r="B757" s="15"/>
    </row>
    <row r="758" spans="2:2" ht="13">
      <c r="B758" s="15"/>
    </row>
    <row r="759" spans="2:2" ht="13">
      <c r="B759" s="15"/>
    </row>
    <row r="760" spans="2:2" ht="13">
      <c r="B760" s="15"/>
    </row>
    <row r="761" spans="2:2" ht="13">
      <c r="B761" s="15"/>
    </row>
    <row r="762" spans="2:2" ht="13">
      <c r="B762" s="15"/>
    </row>
    <row r="763" spans="2:2" ht="13">
      <c r="B763" s="15"/>
    </row>
    <row r="764" spans="2:2" ht="13">
      <c r="B764" s="15"/>
    </row>
    <row r="765" spans="2:2" ht="13">
      <c r="B765" s="15"/>
    </row>
    <row r="766" spans="2:2" ht="13">
      <c r="B766" s="15"/>
    </row>
    <row r="767" spans="2:2" ht="13">
      <c r="B767" s="15"/>
    </row>
    <row r="768" spans="2:2" ht="13">
      <c r="B768" s="15"/>
    </row>
    <row r="769" spans="2:2" ht="13">
      <c r="B769" s="15"/>
    </row>
    <row r="770" spans="2:2" ht="13">
      <c r="B770" s="15"/>
    </row>
    <row r="771" spans="2:2" ht="13">
      <c r="B771" s="15"/>
    </row>
    <row r="772" spans="2:2" ht="13">
      <c r="B772" s="15"/>
    </row>
    <row r="773" spans="2:2" ht="13">
      <c r="B773" s="15"/>
    </row>
    <row r="774" spans="2:2" ht="13">
      <c r="B774" s="15"/>
    </row>
    <row r="775" spans="2:2" ht="13">
      <c r="B775" s="15"/>
    </row>
    <row r="776" spans="2:2" ht="13">
      <c r="B776" s="15"/>
    </row>
    <row r="777" spans="2:2" ht="13">
      <c r="B777" s="15"/>
    </row>
    <row r="778" spans="2:2" ht="13">
      <c r="B778" s="15"/>
    </row>
    <row r="779" spans="2:2" ht="13">
      <c r="B779" s="15"/>
    </row>
    <row r="780" spans="2:2" ht="13">
      <c r="B780" s="15"/>
    </row>
    <row r="781" spans="2:2" ht="13">
      <c r="B781" s="15"/>
    </row>
    <row r="782" spans="2:2" ht="13">
      <c r="B782" s="15"/>
    </row>
    <row r="783" spans="2:2" ht="13">
      <c r="B783" s="15"/>
    </row>
    <row r="784" spans="2:2" ht="13">
      <c r="B784" s="15"/>
    </row>
    <row r="785" spans="2:2" ht="13">
      <c r="B785" s="15"/>
    </row>
    <row r="786" spans="2:2" ht="13">
      <c r="B786" s="15"/>
    </row>
    <row r="787" spans="2:2" ht="13">
      <c r="B787" s="15"/>
    </row>
    <row r="788" spans="2:2" ht="13">
      <c r="B788" s="15"/>
    </row>
    <row r="789" spans="2:2" ht="13">
      <c r="B789" s="15"/>
    </row>
    <row r="790" spans="2:2" ht="13">
      <c r="B790" s="15"/>
    </row>
    <row r="791" spans="2:2" ht="13">
      <c r="B791" s="15"/>
    </row>
    <row r="792" spans="2:2" ht="13">
      <c r="B792" s="15"/>
    </row>
    <row r="793" spans="2:2" ht="13">
      <c r="B793" s="15"/>
    </row>
    <row r="794" spans="2:2" ht="13">
      <c r="B794" s="15"/>
    </row>
    <row r="795" spans="2:2" ht="13">
      <c r="B795" s="15"/>
    </row>
    <row r="796" spans="2:2" ht="13">
      <c r="B796" s="15"/>
    </row>
    <row r="797" spans="2:2" ht="13">
      <c r="B797" s="15"/>
    </row>
    <row r="798" spans="2:2" ht="13">
      <c r="B798" s="15"/>
    </row>
    <row r="799" spans="2:2" ht="13">
      <c r="B799" s="15"/>
    </row>
    <row r="800" spans="2:2" ht="13">
      <c r="B800" s="15"/>
    </row>
    <row r="801" spans="2:2" ht="13">
      <c r="B801" s="15"/>
    </row>
    <row r="802" spans="2:2" ht="13">
      <c r="B802" s="15"/>
    </row>
    <row r="803" spans="2:2" ht="13">
      <c r="B803" s="15"/>
    </row>
    <row r="804" spans="2:2" ht="13">
      <c r="B804" s="15"/>
    </row>
    <row r="805" spans="2:2" ht="13">
      <c r="B805" s="15"/>
    </row>
    <row r="806" spans="2:2" ht="13">
      <c r="B806" s="15"/>
    </row>
    <row r="807" spans="2:2" ht="13">
      <c r="B807" s="15"/>
    </row>
    <row r="808" spans="2:2" ht="13">
      <c r="B808" s="15"/>
    </row>
    <row r="809" spans="2:2" ht="13">
      <c r="B809" s="15"/>
    </row>
    <row r="810" spans="2:2" ht="13">
      <c r="B810" s="15"/>
    </row>
    <row r="811" spans="2:2" ht="13">
      <c r="B811" s="15"/>
    </row>
    <row r="812" spans="2:2" ht="13">
      <c r="B812" s="15"/>
    </row>
    <row r="813" spans="2:2" ht="13">
      <c r="B813" s="15"/>
    </row>
    <row r="814" spans="2:2" ht="13">
      <c r="B814" s="15"/>
    </row>
    <row r="815" spans="2:2" ht="13">
      <c r="B815" s="15"/>
    </row>
    <row r="816" spans="2:2" ht="13">
      <c r="B816" s="15"/>
    </row>
    <row r="817" spans="2:2" ht="13">
      <c r="B817" s="15"/>
    </row>
    <row r="818" spans="2:2" ht="13">
      <c r="B818" s="15"/>
    </row>
    <row r="819" spans="2:2" ht="13">
      <c r="B819" s="15"/>
    </row>
    <row r="820" spans="2:2" ht="13">
      <c r="B820" s="15"/>
    </row>
    <row r="821" spans="2:2" ht="13">
      <c r="B821" s="15"/>
    </row>
    <row r="822" spans="2:2" ht="13">
      <c r="B822" s="15"/>
    </row>
    <row r="823" spans="2:2" ht="13">
      <c r="B823" s="15"/>
    </row>
    <row r="824" spans="2:2" ht="13">
      <c r="B824" s="15"/>
    </row>
    <row r="825" spans="2:2" ht="13">
      <c r="B825" s="15"/>
    </row>
    <row r="826" spans="2:2" ht="13">
      <c r="B826" s="15"/>
    </row>
    <row r="827" spans="2:2" ht="13">
      <c r="B827" s="15"/>
    </row>
    <row r="828" spans="2:2" ht="13">
      <c r="B828" s="15"/>
    </row>
    <row r="829" spans="2:2" ht="13">
      <c r="B829" s="15"/>
    </row>
    <row r="830" spans="2:2" ht="13">
      <c r="B830" s="15"/>
    </row>
    <row r="831" spans="2:2" ht="13">
      <c r="B831" s="15"/>
    </row>
    <row r="832" spans="2:2" ht="13">
      <c r="B832" s="15"/>
    </row>
    <row r="833" spans="2:2" ht="13">
      <c r="B833" s="15"/>
    </row>
    <row r="834" spans="2:2" ht="13">
      <c r="B834" s="15"/>
    </row>
    <row r="835" spans="2:2" ht="13">
      <c r="B835" s="15"/>
    </row>
    <row r="836" spans="2:2" ht="13">
      <c r="B836" s="15"/>
    </row>
    <row r="837" spans="2:2" ht="13">
      <c r="B837" s="15"/>
    </row>
    <row r="838" spans="2:2" ht="13">
      <c r="B838" s="15"/>
    </row>
    <row r="839" spans="2:2" ht="13">
      <c r="B839" s="15"/>
    </row>
    <row r="840" spans="2:2" ht="13">
      <c r="B840" s="15"/>
    </row>
    <row r="841" spans="2:2" ht="13">
      <c r="B841" s="15"/>
    </row>
    <row r="842" spans="2:2" ht="13">
      <c r="B842" s="15"/>
    </row>
    <row r="843" spans="2:2" ht="13">
      <c r="B843" s="15"/>
    </row>
    <row r="844" spans="2:2" ht="13">
      <c r="B844" s="15"/>
    </row>
    <row r="845" spans="2:2" ht="13">
      <c r="B845" s="15"/>
    </row>
    <row r="846" spans="2:2" ht="13">
      <c r="B846" s="15"/>
    </row>
    <row r="847" spans="2:2" ht="13">
      <c r="B847" s="15"/>
    </row>
    <row r="848" spans="2:2" ht="13">
      <c r="B848" s="15"/>
    </row>
    <row r="849" spans="2:2" ht="13">
      <c r="B849" s="15"/>
    </row>
    <row r="850" spans="2:2" ht="13">
      <c r="B850" s="15"/>
    </row>
    <row r="851" spans="2:2" ht="13">
      <c r="B851" s="15"/>
    </row>
    <row r="852" spans="2:2" ht="13">
      <c r="B852" s="15"/>
    </row>
    <row r="853" spans="2:2" ht="13">
      <c r="B853" s="15"/>
    </row>
    <row r="854" spans="2:2" ht="13">
      <c r="B854" s="15"/>
    </row>
    <row r="855" spans="2:2" ht="13">
      <c r="B855" s="15"/>
    </row>
    <row r="856" spans="2:2" ht="13">
      <c r="B856" s="15"/>
    </row>
    <row r="857" spans="2:2" ht="13">
      <c r="B857" s="15"/>
    </row>
    <row r="858" spans="2:2" ht="13">
      <c r="B858" s="15"/>
    </row>
    <row r="859" spans="2:2" ht="13">
      <c r="B859" s="15"/>
    </row>
    <row r="860" spans="2:2" ht="13">
      <c r="B860" s="15"/>
    </row>
    <row r="861" spans="2:2" ht="13">
      <c r="B861" s="15"/>
    </row>
    <row r="862" spans="2:2" ht="13">
      <c r="B862" s="15"/>
    </row>
    <row r="863" spans="2:2" ht="13">
      <c r="B863" s="15"/>
    </row>
    <row r="864" spans="2:2" ht="13">
      <c r="B864" s="15"/>
    </row>
    <row r="865" spans="2:2" ht="13">
      <c r="B865" s="15"/>
    </row>
    <row r="866" spans="2:2" ht="13">
      <c r="B866" s="15"/>
    </row>
    <row r="867" spans="2:2" ht="13">
      <c r="B867" s="15"/>
    </row>
    <row r="868" spans="2:2" ht="13">
      <c r="B868" s="15"/>
    </row>
    <row r="869" spans="2:2" ht="13">
      <c r="B869" s="15"/>
    </row>
    <row r="870" spans="2:2" ht="13">
      <c r="B870" s="15"/>
    </row>
    <row r="871" spans="2:2" ht="13">
      <c r="B871" s="15"/>
    </row>
    <row r="872" spans="2:2" ht="13">
      <c r="B872" s="15"/>
    </row>
    <row r="873" spans="2:2" ht="13">
      <c r="B873" s="15"/>
    </row>
    <row r="874" spans="2:2" ht="13">
      <c r="B874" s="15"/>
    </row>
    <row r="875" spans="2:2" ht="13">
      <c r="B875" s="15"/>
    </row>
    <row r="876" spans="2:2" ht="13">
      <c r="B876" s="15"/>
    </row>
    <row r="877" spans="2:2" ht="13">
      <c r="B877" s="15"/>
    </row>
    <row r="878" spans="2:2" ht="13">
      <c r="B878" s="15"/>
    </row>
    <row r="879" spans="2:2" ht="13">
      <c r="B879" s="15"/>
    </row>
    <row r="880" spans="2:2" ht="13">
      <c r="B880" s="15"/>
    </row>
    <row r="881" spans="2:2" ht="13">
      <c r="B881" s="15"/>
    </row>
    <row r="882" spans="2:2" ht="13">
      <c r="B882" s="15"/>
    </row>
    <row r="883" spans="2:2" ht="13">
      <c r="B883" s="15"/>
    </row>
    <row r="884" spans="2:2" ht="13">
      <c r="B884" s="15"/>
    </row>
    <row r="885" spans="2:2" ht="13">
      <c r="B885" s="15"/>
    </row>
    <row r="886" spans="2:2" ht="13">
      <c r="B886" s="15"/>
    </row>
    <row r="887" spans="2:2" ht="13">
      <c r="B887" s="15"/>
    </row>
    <row r="888" spans="2:2" ht="13">
      <c r="B888" s="15"/>
    </row>
    <row r="889" spans="2:2" ht="13">
      <c r="B889" s="15"/>
    </row>
    <row r="890" spans="2:2" ht="13">
      <c r="B890" s="15"/>
    </row>
    <row r="891" spans="2:2" ht="13">
      <c r="B891" s="15"/>
    </row>
    <row r="892" spans="2:2" ht="13">
      <c r="B892" s="15"/>
    </row>
    <row r="893" spans="2:2" ht="13">
      <c r="B893" s="15"/>
    </row>
    <row r="894" spans="2:2" ht="13">
      <c r="B894" s="15"/>
    </row>
    <row r="895" spans="2:2" ht="13">
      <c r="B895" s="15"/>
    </row>
    <row r="896" spans="2:2" ht="13">
      <c r="B896" s="15"/>
    </row>
    <row r="897" spans="2:2" ht="13">
      <c r="B897" s="15"/>
    </row>
    <row r="898" spans="2:2" ht="13">
      <c r="B898" s="15"/>
    </row>
    <row r="899" spans="2:2" ht="13">
      <c r="B899" s="15"/>
    </row>
    <row r="900" spans="2:2" ht="13">
      <c r="B900" s="15"/>
    </row>
    <row r="901" spans="2:2" ht="13">
      <c r="B901" s="15"/>
    </row>
    <row r="902" spans="2:2" ht="13">
      <c r="B902" s="15"/>
    </row>
    <row r="903" spans="2:2" ht="13">
      <c r="B903" s="15"/>
    </row>
    <row r="904" spans="2:2" ht="13">
      <c r="B904" s="15"/>
    </row>
    <row r="905" spans="2:2" ht="13">
      <c r="B905" s="15"/>
    </row>
    <row r="906" spans="2:2" ht="13">
      <c r="B906" s="15"/>
    </row>
    <row r="907" spans="2:2" ht="13">
      <c r="B907" s="15"/>
    </row>
    <row r="908" spans="2:2" ht="13">
      <c r="B908" s="15"/>
    </row>
    <row r="909" spans="2:2" ht="13">
      <c r="B909" s="15"/>
    </row>
    <row r="910" spans="2:2" ht="13">
      <c r="B910" s="15"/>
    </row>
    <row r="911" spans="2:2" ht="13">
      <c r="B911" s="15"/>
    </row>
    <row r="912" spans="2:2" ht="13">
      <c r="B912" s="15"/>
    </row>
    <row r="913" spans="2:2" ht="13">
      <c r="B913" s="15"/>
    </row>
    <row r="914" spans="2:2" ht="13">
      <c r="B914" s="15"/>
    </row>
    <row r="915" spans="2:2" ht="13">
      <c r="B915" s="15"/>
    </row>
    <row r="916" spans="2:2" ht="13">
      <c r="B916" s="15"/>
    </row>
    <row r="917" spans="2:2" ht="13">
      <c r="B917" s="15"/>
    </row>
    <row r="918" spans="2:2" ht="13">
      <c r="B918" s="15"/>
    </row>
    <row r="919" spans="2:2" ht="13">
      <c r="B919" s="15"/>
    </row>
    <row r="920" spans="2:2" ht="13">
      <c r="B920" s="15"/>
    </row>
    <row r="921" spans="2:2" ht="13">
      <c r="B921" s="15"/>
    </row>
    <row r="922" spans="2:2" ht="13">
      <c r="B922" s="15"/>
    </row>
    <row r="923" spans="2:2" ht="13">
      <c r="B923" s="15"/>
    </row>
    <row r="924" spans="2:2" ht="13">
      <c r="B924" s="15"/>
    </row>
    <row r="925" spans="2:2" ht="13">
      <c r="B925" s="15"/>
    </row>
    <row r="926" spans="2:2" ht="13">
      <c r="B926" s="15"/>
    </row>
    <row r="927" spans="2:2" ht="13">
      <c r="B927" s="15"/>
    </row>
    <row r="928" spans="2:2" ht="13">
      <c r="B928" s="15"/>
    </row>
    <row r="929" spans="2:2" ht="13">
      <c r="B929" s="15"/>
    </row>
    <row r="930" spans="2:2" ht="13">
      <c r="B930" s="15"/>
    </row>
    <row r="931" spans="2:2" ht="13">
      <c r="B931" s="15"/>
    </row>
    <row r="932" spans="2:2" ht="13">
      <c r="B932" s="15"/>
    </row>
    <row r="933" spans="2:2" ht="13">
      <c r="B933" s="15"/>
    </row>
    <row r="934" spans="2:2" ht="13">
      <c r="B934" s="15"/>
    </row>
    <row r="935" spans="2:2" ht="13">
      <c r="B935" s="15"/>
    </row>
    <row r="936" spans="2:2" ht="13">
      <c r="B936" s="15"/>
    </row>
    <row r="937" spans="2:2" ht="13">
      <c r="B937" s="15"/>
    </row>
    <row r="938" spans="2:2" ht="13">
      <c r="B938" s="15"/>
    </row>
    <row r="939" spans="2:2" ht="13">
      <c r="B939" s="15"/>
    </row>
    <row r="940" spans="2:2" ht="13">
      <c r="B940" s="15"/>
    </row>
    <row r="941" spans="2:2" ht="13">
      <c r="B941" s="15"/>
    </row>
    <row r="942" spans="2:2" ht="13">
      <c r="B942" s="15"/>
    </row>
    <row r="943" spans="2:2" ht="13">
      <c r="B943" s="15"/>
    </row>
    <row r="944" spans="2:2" ht="13">
      <c r="B944" s="15"/>
    </row>
    <row r="945" spans="2:2" ht="13">
      <c r="B945" s="15"/>
    </row>
    <row r="946" spans="2:2" ht="13">
      <c r="B946" s="15"/>
    </row>
    <row r="947" spans="2:2" ht="13">
      <c r="B947" s="15"/>
    </row>
    <row r="948" spans="2:2" ht="13">
      <c r="B948" s="15"/>
    </row>
    <row r="949" spans="2:2" ht="13">
      <c r="B949" s="15"/>
    </row>
    <row r="950" spans="2:2" ht="13">
      <c r="B950" s="15"/>
    </row>
    <row r="951" spans="2:2" ht="13">
      <c r="B951" s="15"/>
    </row>
    <row r="952" spans="2:2" ht="13">
      <c r="B952" s="15"/>
    </row>
    <row r="953" spans="2:2" ht="13">
      <c r="B953" s="15"/>
    </row>
    <row r="954" spans="2:2" ht="13">
      <c r="B954" s="15"/>
    </row>
    <row r="955" spans="2:2" ht="13">
      <c r="B955" s="15"/>
    </row>
    <row r="956" spans="2:2" ht="13">
      <c r="B956" s="15"/>
    </row>
    <row r="957" spans="2:2" ht="13">
      <c r="B957" s="15"/>
    </row>
    <row r="958" spans="2:2" ht="13">
      <c r="B958" s="15"/>
    </row>
    <row r="959" spans="2:2" ht="13">
      <c r="B959" s="15"/>
    </row>
    <row r="960" spans="2:2" ht="13">
      <c r="B960" s="15"/>
    </row>
    <row r="961" spans="2:2" ht="13">
      <c r="B961" s="15"/>
    </row>
    <row r="962" spans="2:2" ht="13">
      <c r="B962" s="15"/>
    </row>
    <row r="963" spans="2:2" ht="13">
      <c r="B963" s="15"/>
    </row>
    <row r="964" spans="2:2" ht="13">
      <c r="B964" s="15"/>
    </row>
    <row r="965" spans="2:2" ht="13">
      <c r="B965" s="15"/>
    </row>
    <row r="966" spans="2:2" ht="13">
      <c r="B966" s="15"/>
    </row>
    <row r="967" spans="2:2" ht="13">
      <c r="B967" s="15"/>
    </row>
    <row r="968" spans="2:2" ht="13">
      <c r="B968" s="15"/>
    </row>
    <row r="969" spans="2:2" ht="13">
      <c r="B969" s="15"/>
    </row>
    <row r="970" spans="2:2" ht="13">
      <c r="B970" s="15"/>
    </row>
    <row r="971" spans="2:2" ht="13">
      <c r="B971" s="15"/>
    </row>
    <row r="972" spans="2:2" ht="13">
      <c r="B972" s="15"/>
    </row>
    <row r="973" spans="2:2" ht="13">
      <c r="B973" s="15"/>
    </row>
    <row r="974" spans="2:2" ht="13">
      <c r="B974" s="15"/>
    </row>
    <row r="975" spans="2:2" ht="13">
      <c r="B975" s="15"/>
    </row>
    <row r="976" spans="2:2" ht="13">
      <c r="B976" s="15"/>
    </row>
    <row r="977" spans="2:2" ht="13">
      <c r="B977" s="15"/>
    </row>
    <row r="978" spans="2:2" ht="13">
      <c r="B978" s="15"/>
    </row>
    <row r="979" spans="2:2" ht="13">
      <c r="B979" s="15"/>
    </row>
    <row r="980" spans="2:2" ht="13">
      <c r="B980" s="15"/>
    </row>
    <row r="981" spans="2:2" ht="13">
      <c r="B981" s="15"/>
    </row>
    <row r="982" spans="2:2" ht="13">
      <c r="B982" s="15"/>
    </row>
    <row r="983" spans="2:2" ht="13">
      <c r="B983" s="15"/>
    </row>
    <row r="984" spans="2:2" ht="13">
      <c r="B984" s="15"/>
    </row>
    <row r="985" spans="2:2" ht="13">
      <c r="B985" s="15"/>
    </row>
    <row r="986" spans="2:2" ht="13">
      <c r="B986" s="15"/>
    </row>
    <row r="987" spans="2:2" ht="13">
      <c r="B987" s="15"/>
    </row>
    <row r="988" spans="2:2" ht="13">
      <c r="B988" s="15"/>
    </row>
    <row r="989" spans="2:2" ht="13">
      <c r="B989" s="15"/>
    </row>
    <row r="990" spans="2:2" ht="13">
      <c r="B990" s="15"/>
    </row>
    <row r="991" spans="2:2" ht="13">
      <c r="B991" s="15"/>
    </row>
    <row r="992" spans="2:2" ht="13">
      <c r="B992" s="15"/>
    </row>
    <row r="993" spans="2:2" ht="13">
      <c r="B993" s="15"/>
    </row>
    <row r="994" spans="2:2" ht="13">
      <c r="B994" s="15"/>
    </row>
    <row r="995" spans="2:2" ht="13">
      <c r="B995" s="15"/>
    </row>
    <row r="996" spans="2:2" ht="13">
      <c r="B996" s="15"/>
    </row>
    <row r="997" spans="2:2" ht="13">
      <c r="B997" s="15"/>
    </row>
    <row r="998" spans="2:2" ht="13">
      <c r="B998" s="15"/>
    </row>
    <row r="999" spans="2:2" ht="13">
      <c r="B999" s="15"/>
    </row>
    <row r="1000" spans="2:2" ht="13">
      <c r="B100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09"/>
  <sheetViews>
    <sheetView workbookViewId="0"/>
  </sheetViews>
  <sheetFormatPr baseColWidth="10" defaultColWidth="12.6640625" defaultRowHeight="15.75" customHeight="1"/>
  <cols>
    <col min="1" max="1" width="35.1640625" customWidth="1"/>
  </cols>
  <sheetData>
    <row r="1" spans="1:4" ht="15.75" customHeight="1">
      <c r="A1" s="4" t="s">
        <v>429</v>
      </c>
      <c r="B1" s="4" t="s">
        <v>430</v>
      </c>
      <c r="C1" s="4" t="s">
        <v>431</v>
      </c>
    </row>
    <row r="2" spans="1:4">
      <c r="A2" s="16" t="s">
        <v>432</v>
      </c>
      <c r="B2" s="4" t="str">
        <f t="shared" ref="B2:B209" si="0">MID(A2,3,3)</f>
        <v>662</v>
      </c>
      <c r="C2" s="4" t="str">
        <f>VLOOKUP(B2,'NYU to Reg'!B:C,2)</f>
        <v>sub-02</v>
      </c>
      <c r="D2" s="4" t="str">
        <f t="shared" ref="D2:D209" si="1">MID(A2,31,80)</f>
        <v>EEGPO_02REF</v>
      </c>
    </row>
    <row r="3" spans="1:4">
      <c r="A3" s="16" t="s">
        <v>433</v>
      </c>
      <c r="B3" s="4" t="str">
        <f t="shared" si="0"/>
        <v>662</v>
      </c>
      <c r="C3" s="4" t="str">
        <f>VLOOKUP(B3,'NYU to Reg'!B:C,2)</f>
        <v>sub-02</v>
      </c>
      <c r="D3" s="4" t="str">
        <f t="shared" si="1"/>
        <v>EEGPO_03REF</v>
      </c>
    </row>
    <row r="4" spans="1:4">
      <c r="A4" s="16" t="s">
        <v>434</v>
      </c>
      <c r="B4" s="4" t="str">
        <f t="shared" si="0"/>
        <v>717</v>
      </c>
      <c r="C4" s="4" t="str">
        <f>VLOOKUP(B4,'NYU to Reg'!B:C,2)</f>
        <v>sub-03</v>
      </c>
      <c r="D4" s="4" t="str">
        <f t="shared" si="1"/>
        <v>LF6</v>
      </c>
    </row>
    <row r="5" spans="1:4">
      <c r="A5" s="16" t="s">
        <v>435</v>
      </c>
      <c r="B5" s="4" t="str">
        <f t="shared" si="0"/>
        <v>717</v>
      </c>
      <c r="C5" s="4" t="str">
        <f>VLOOKUP(B5,'NYU to Reg'!B:C,2)</f>
        <v>sub-03</v>
      </c>
      <c r="D5" s="4" t="str">
        <f t="shared" si="1"/>
        <v>LGA10</v>
      </c>
    </row>
    <row r="6" spans="1:4">
      <c r="A6" s="16" t="s">
        <v>436</v>
      </c>
      <c r="B6" s="4" t="str">
        <f t="shared" si="0"/>
        <v>717</v>
      </c>
      <c r="C6" s="4" t="str">
        <f>VLOOKUP(B6,'NYU to Reg'!B:C,2)</f>
        <v>sub-03</v>
      </c>
      <c r="D6" s="4" t="str">
        <f t="shared" si="1"/>
        <v>LGA11</v>
      </c>
    </row>
    <row r="7" spans="1:4">
      <c r="A7" s="16" t="s">
        <v>437</v>
      </c>
      <c r="B7" s="4" t="str">
        <f t="shared" si="0"/>
        <v>717</v>
      </c>
      <c r="C7" s="4" t="str">
        <f>VLOOKUP(B7,'NYU to Reg'!B:C,2)</f>
        <v>sub-03</v>
      </c>
      <c r="D7" s="4" t="str">
        <f t="shared" si="1"/>
        <v>LGA17</v>
      </c>
    </row>
    <row r="8" spans="1:4">
      <c r="A8" s="16" t="s">
        <v>438</v>
      </c>
      <c r="B8" s="4" t="str">
        <f t="shared" si="0"/>
        <v>717</v>
      </c>
      <c r="C8" s="4" t="str">
        <f>VLOOKUP(B8,'NYU to Reg'!B:C,2)</f>
        <v>sub-03</v>
      </c>
      <c r="D8" s="4" t="str">
        <f t="shared" si="1"/>
        <v>LGA18</v>
      </c>
    </row>
    <row r="9" spans="1:4">
      <c r="A9" s="16" t="s">
        <v>439</v>
      </c>
      <c r="B9" s="4" t="str">
        <f t="shared" si="0"/>
        <v>717</v>
      </c>
      <c r="C9" s="4" t="str">
        <f>VLOOKUP(B9,'NYU to Reg'!B:C,2)</f>
        <v>sub-03</v>
      </c>
      <c r="D9" s="4" t="str">
        <f t="shared" si="1"/>
        <v>LGA19</v>
      </c>
    </row>
    <row r="10" spans="1:4">
      <c r="A10" s="16" t="s">
        <v>440</v>
      </c>
      <c r="B10" s="4" t="str">
        <f t="shared" si="0"/>
        <v>717</v>
      </c>
      <c r="C10" s="4" t="str">
        <f>VLOOKUP(B10,'NYU to Reg'!B:C,2)</f>
        <v>sub-03</v>
      </c>
      <c r="D10" s="4" t="str">
        <f t="shared" si="1"/>
        <v>LGA25</v>
      </c>
    </row>
    <row r="11" spans="1:4">
      <c r="A11" s="16" t="s">
        <v>441</v>
      </c>
      <c r="B11" s="4" t="str">
        <f t="shared" si="0"/>
        <v>717</v>
      </c>
      <c r="C11" s="4" t="str">
        <f>VLOOKUP(B11,'NYU to Reg'!B:C,2)</f>
        <v>sub-03</v>
      </c>
      <c r="D11" s="4" t="str">
        <f t="shared" si="1"/>
        <v>LGA26</v>
      </c>
    </row>
    <row r="12" spans="1:4">
      <c r="A12" s="16" t="s">
        <v>442</v>
      </c>
      <c r="B12" s="4" t="str">
        <f t="shared" si="0"/>
        <v>717</v>
      </c>
      <c r="C12" s="4" t="str">
        <f>VLOOKUP(B12,'NYU to Reg'!B:C,2)</f>
        <v>sub-03</v>
      </c>
      <c r="D12" s="4" t="str">
        <f t="shared" si="1"/>
        <v>LGA27</v>
      </c>
    </row>
    <row r="13" spans="1:4">
      <c r="A13" s="16" t="s">
        <v>443</v>
      </c>
      <c r="B13" s="4" t="str">
        <f t="shared" si="0"/>
        <v>717</v>
      </c>
      <c r="C13" s="4" t="str">
        <f>VLOOKUP(B13,'NYU to Reg'!B:C,2)</f>
        <v>sub-03</v>
      </c>
      <c r="D13" s="4" t="str">
        <f t="shared" si="1"/>
        <v>LGA36</v>
      </c>
    </row>
    <row r="14" spans="1:4">
      <c r="A14" s="16" t="s">
        <v>444</v>
      </c>
      <c r="B14" s="4" t="str">
        <f t="shared" si="0"/>
        <v>717</v>
      </c>
      <c r="C14" s="4" t="str">
        <f>VLOOKUP(B14,'NYU to Reg'!B:C,2)</f>
        <v>sub-03</v>
      </c>
      <c r="D14" s="4" t="str">
        <f t="shared" si="1"/>
        <v>LGA37</v>
      </c>
    </row>
    <row r="15" spans="1:4">
      <c r="A15" s="16" t="s">
        <v>445</v>
      </c>
      <c r="B15" s="4" t="str">
        <f t="shared" si="0"/>
        <v>717</v>
      </c>
      <c r="C15" s="4" t="str">
        <f>VLOOKUP(B15,'NYU to Reg'!B:C,2)</f>
        <v>sub-03</v>
      </c>
      <c r="D15" s="4" t="str">
        <f t="shared" si="1"/>
        <v>LGA38</v>
      </c>
    </row>
    <row r="16" spans="1:4">
      <c r="A16" s="16" t="s">
        <v>446</v>
      </c>
      <c r="B16" s="4" t="str">
        <f t="shared" si="0"/>
        <v>717</v>
      </c>
      <c r="C16" s="4" t="str">
        <f>VLOOKUP(B16,'NYU to Reg'!B:C,2)</f>
        <v>sub-03</v>
      </c>
      <c r="D16" s="4" t="str">
        <f t="shared" si="1"/>
        <v>LGA39</v>
      </c>
    </row>
    <row r="17" spans="1:4">
      <c r="A17" s="16" t="s">
        <v>447</v>
      </c>
      <c r="B17" s="4" t="str">
        <f t="shared" si="0"/>
        <v>717</v>
      </c>
      <c r="C17" s="4" t="str">
        <f>VLOOKUP(B17,'NYU to Reg'!B:C,2)</f>
        <v>sub-03</v>
      </c>
      <c r="D17" s="4" t="str">
        <f t="shared" si="1"/>
        <v>LGA40</v>
      </c>
    </row>
    <row r="18" spans="1:4">
      <c r="A18" s="16" t="s">
        <v>448</v>
      </c>
      <c r="B18" s="4" t="str">
        <f t="shared" si="0"/>
        <v>717</v>
      </c>
      <c r="C18" s="4" t="str">
        <f>VLOOKUP(B18,'NYU to Reg'!B:C,2)</f>
        <v>sub-03</v>
      </c>
      <c r="D18" s="4" t="str">
        <f t="shared" si="1"/>
        <v>LGA44</v>
      </c>
    </row>
    <row r="19" spans="1:4">
      <c r="A19" s="16" t="s">
        <v>449</v>
      </c>
      <c r="B19" s="4" t="str">
        <f t="shared" si="0"/>
        <v>717</v>
      </c>
      <c r="C19" s="4" t="str">
        <f>VLOOKUP(B19,'NYU to Reg'!B:C,2)</f>
        <v>sub-03</v>
      </c>
      <c r="D19" s="4" t="str">
        <f t="shared" si="1"/>
        <v>LGA46</v>
      </c>
    </row>
    <row r="20" spans="1:4">
      <c r="A20" s="16" t="s">
        <v>450</v>
      </c>
      <c r="B20" s="4" t="str">
        <f t="shared" si="0"/>
        <v>717</v>
      </c>
      <c r="C20" s="4" t="str">
        <f>VLOOKUP(B20,'NYU to Reg'!B:C,2)</f>
        <v>sub-03</v>
      </c>
      <c r="D20" s="4" t="str">
        <f t="shared" si="1"/>
        <v>LGA47</v>
      </c>
    </row>
    <row r="21" spans="1:4">
      <c r="A21" s="16" t="s">
        <v>451</v>
      </c>
      <c r="B21" s="4" t="str">
        <f t="shared" si="0"/>
        <v>717</v>
      </c>
      <c r="C21" s="4" t="str">
        <f>VLOOKUP(B21,'NYU to Reg'!B:C,2)</f>
        <v>sub-03</v>
      </c>
      <c r="D21" s="4" t="str">
        <f t="shared" si="1"/>
        <v>LGA48</v>
      </c>
    </row>
    <row r="22" spans="1:4">
      <c r="A22" s="16" t="s">
        <v>452</v>
      </c>
      <c r="B22" s="4" t="str">
        <f t="shared" si="0"/>
        <v>717</v>
      </c>
      <c r="C22" s="4" t="str">
        <f>VLOOKUP(B22,'NYU to Reg'!B:C,2)</f>
        <v>sub-03</v>
      </c>
      <c r="D22" s="4" t="str">
        <f t="shared" si="1"/>
        <v>LGA7</v>
      </c>
    </row>
    <row r="23" spans="1:4">
      <c r="A23" s="16" t="s">
        <v>453</v>
      </c>
      <c r="B23" s="4" t="str">
        <f t="shared" si="0"/>
        <v>717</v>
      </c>
      <c r="C23" s="4" t="str">
        <f>VLOOKUP(B23,'NYU to Reg'!B:C,2)</f>
        <v>sub-03</v>
      </c>
      <c r="D23" s="4" t="str">
        <f t="shared" si="1"/>
        <v>LGA9</v>
      </c>
    </row>
    <row r="24" spans="1:4">
      <c r="A24" s="16" t="s">
        <v>454</v>
      </c>
      <c r="B24" s="4" t="str">
        <f t="shared" si="0"/>
        <v>717</v>
      </c>
      <c r="C24" s="4" t="str">
        <f>VLOOKUP(B24,'NYU to Reg'!B:C,2)</f>
        <v>sub-03</v>
      </c>
      <c r="D24" s="4" t="str">
        <f t="shared" si="1"/>
        <v>LGB106</v>
      </c>
    </row>
    <row r="25" spans="1:4">
      <c r="A25" s="16" t="s">
        <v>455</v>
      </c>
      <c r="B25" s="4" t="str">
        <f t="shared" si="0"/>
        <v>717</v>
      </c>
      <c r="C25" s="4" t="str">
        <f>VLOOKUP(B25,'NYU to Reg'!B:C,2)</f>
        <v>sub-03</v>
      </c>
      <c r="D25" s="4" t="str">
        <f t="shared" si="1"/>
        <v>LGB107</v>
      </c>
    </row>
    <row r="26" spans="1:4">
      <c r="A26" s="16" t="s">
        <v>456</v>
      </c>
      <c r="B26" s="4" t="str">
        <f t="shared" si="0"/>
        <v>717</v>
      </c>
      <c r="C26" s="4" t="str">
        <f>VLOOKUP(B26,'NYU to Reg'!B:C,2)</f>
        <v>sub-03</v>
      </c>
      <c r="D26" s="4" t="str">
        <f t="shared" si="1"/>
        <v>LGB108</v>
      </c>
    </row>
    <row r="27" spans="1:4">
      <c r="A27" s="16" t="s">
        <v>457</v>
      </c>
      <c r="B27" s="4" t="str">
        <f t="shared" si="0"/>
        <v>717</v>
      </c>
      <c r="C27" s="4" t="str">
        <f>VLOOKUP(B27,'NYU to Reg'!B:C,2)</f>
        <v>sub-03</v>
      </c>
      <c r="D27" s="4" t="str">
        <f t="shared" si="1"/>
        <v>LGB112</v>
      </c>
    </row>
    <row r="28" spans="1:4">
      <c r="A28" s="16" t="s">
        <v>458</v>
      </c>
      <c r="B28" s="4" t="str">
        <f t="shared" si="0"/>
        <v>717</v>
      </c>
      <c r="C28" s="4" t="str">
        <f>VLOOKUP(B28,'NYU to Reg'!B:C,2)</f>
        <v>sub-03</v>
      </c>
      <c r="D28" s="4" t="str">
        <f t="shared" si="1"/>
        <v>LGB113</v>
      </c>
    </row>
    <row r="29" spans="1:4">
      <c r="A29" s="16" t="s">
        <v>459</v>
      </c>
      <c r="B29" s="4" t="str">
        <f t="shared" si="0"/>
        <v>717</v>
      </c>
      <c r="C29" s="4" t="str">
        <f>VLOOKUP(B29,'NYU to Reg'!B:C,2)</f>
        <v>sub-03</v>
      </c>
      <c r="D29" s="4" t="str">
        <f t="shared" si="1"/>
        <v>LGB114</v>
      </c>
    </row>
    <row r="30" spans="1:4">
      <c r="A30" s="16" t="s">
        <v>460</v>
      </c>
      <c r="B30" s="4" t="str">
        <f t="shared" si="0"/>
        <v>717</v>
      </c>
      <c r="C30" s="4" t="str">
        <f>VLOOKUP(B30,'NYU to Reg'!B:C,2)</f>
        <v>sub-03</v>
      </c>
      <c r="D30" s="4" t="str">
        <f t="shared" si="1"/>
        <v>LGB115</v>
      </c>
    </row>
    <row r="31" spans="1:4">
      <c r="A31" s="16" t="s">
        <v>461</v>
      </c>
      <c r="B31" s="4" t="str">
        <f t="shared" si="0"/>
        <v>717</v>
      </c>
      <c r="C31" s="4" t="str">
        <f>VLOOKUP(B31,'NYU to Reg'!B:C,2)</f>
        <v>sub-03</v>
      </c>
      <c r="D31" s="4" t="str">
        <f t="shared" si="1"/>
        <v>LGB116</v>
      </c>
    </row>
    <row r="32" spans="1:4">
      <c r="A32" s="16" t="s">
        <v>462</v>
      </c>
      <c r="B32" s="4" t="str">
        <f t="shared" si="0"/>
        <v>717</v>
      </c>
      <c r="C32" s="4" t="str">
        <f>VLOOKUP(B32,'NYU to Reg'!B:C,2)</f>
        <v>sub-03</v>
      </c>
      <c r="D32" s="4" t="str">
        <f t="shared" si="1"/>
        <v>LGB117</v>
      </c>
    </row>
    <row r="33" spans="1:4">
      <c r="A33" s="16" t="s">
        <v>463</v>
      </c>
      <c r="B33" s="4" t="str">
        <f t="shared" si="0"/>
        <v>717</v>
      </c>
      <c r="C33" s="4" t="str">
        <f>VLOOKUP(B33,'NYU to Reg'!B:C,2)</f>
        <v>sub-03</v>
      </c>
      <c r="D33" s="4" t="str">
        <f t="shared" si="1"/>
        <v>LGB119</v>
      </c>
    </row>
    <row r="34" spans="1:4">
      <c r="A34" s="16" t="s">
        <v>464</v>
      </c>
      <c r="B34" s="4" t="str">
        <f t="shared" si="0"/>
        <v>717</v>
      </c>
      <c r="C34" s="4" t="str">
        <f>VLOOKUP(B34,'NYU to Reg'!B:C,2)</f>
        <v>sub-03</v>
      </c>
      <c r="D34" s="4" t="str">
        <f t="shared" si="1"/>
        <v>LGB120</v>
      </c>
    </row>
    <row r="35" spans="1:4">
      <c r="A35" s="16" t="s">
        <v>465</v>
      </c>
      <c r="B35" s="4" t="str">
        <f t="shared" si="0"/>
        <v>717</v>
      </c>
      <c r="C35" s="4" t="str">
        <f>VLOOKUP(B35,'NYU to Reg'!B:C,2)</f>
        <v>sub-03</v>
      </c>
      <c r="D35" s="4" t="str">
        <f t="shared" si="1"/>
        <v>LGB121</v>
      </c>
    </row>
    <row r="36" spans="1:4">
      <c r="A36" s="16" t="s">
        <v>466</v>
      </c>
      <c r="B36" s="4" t="str">
        <f t="shared" si="0"/>
        <v>717</v>
      </c>
      <c r="C36" s="4" t="str">
        <f>VLOOKUP(B36,'NYU to Reg'!B:C,2)</f>
        <v>sub-03</v>
      </c>
      <c r="D36" s="4" t="str">
        <f t="shared" si="1"/>
        <v>LGB122</v>
      </c>
    </row>
    <row r="37" spans="1:4">
      <c r="A37" s="16" t="s">
        <v>467</v>
      </c>
      <c r="B37" s="4" t="str">
        <f t="shared" si="0"/>
        <v>717</v>
      </c>
      <c r="C37" s="4" t="str">
        <f>VLOOKUP(B37,'NYU to Reg'!B:C,2)</f>
        <v>sub-03</v>
      </c>
      <c r="D37" s="4" t="str">
        <f t="shared" si="1"/>
        <v>LGB123</v>
      </c>
    </row>
    <row r="38" spans="1:4">
      <c r="A38" s="16" t="s">
        <v>468</v>
      </c>
      <c r="B38" s="4" t="str">
        <f t="shared" si="0"/>
        <v>717</v>
      </c>
      <c r="C38" s="4" t="str">
        <f>VLOOKUP(B38,'NYU to Reg'!B:C,2)</f>
        <v>sub-03</v>
      </c>
      <c r="D38" s="4" t="str">
        <f t="shared" si="1"/>
        <v>LGB124</v>
      </c>
    </row>
    <row r="39" spans="1:4">
      <c r="A39" s="16" t="s">
        <v>469</v>
      </c>
      <c r="B39" s="4" t="str">
        <f t="shared" si="0"/>
        <v>717</v>
      </c>
      <c r="C39" s="4" t="str">
        <f>VLOOKUP(B39,'NYU to Reg'!B:C,2)</f>
        <v>sub-03</v>
      </c>
      <c r="D39" s="4" t="str">
        <f t="shared" si="1"/>
        <v>LGB126</v>
      </c>
    </row>
    <row r="40" spans="1:4">
      <c r="A40" s="16" t="s">
        <v>470</v>
      </c>
      <c r="B40" s="4" t="str">
        <f t="shared" si="0"/>
        <v>717</v>
      </c>
      <c r="C40" s="4" t="str">
        <f>VLOOKUP(B40,'NYU to Reg'!B:C,2)</f>
        <v>sub-03</v>
      </c>
      <c r="D40" s="4" t="str">
        <f t="shared" si="1"/>
        <v>LGB66</v>
      </c>
    </row>
    <row r="41" spans="1:4">
      <c r="A41" s="16" t="s">
        <v>471</v>
      </c>
      <c r="B41" s="4" t="str">
        <f t="shared" si="0"/>
        <v>717</v>
      </c>
      <c r="C41" s="4" t="str">
        <f>VLOOKUP(B41,'NYU to Reg'!B:C,2)</f>
        <v>sub-03</v>
      </c>
      <c r="D41" s="4" t="str">
        <f t="shared" si="1"/>
        <v>LGB67</v>
      </c>
    </row>
    <row r="42" spans="1:4">
      <c r="A42" s="16" t="s">
        <v>472</v>
      </c>
      <c r="B42" s="4" t="str">
        <f t="shared" si="0"/>
        <v>717</v>
      </c>
      <c r="C42" s="4" t="str">
        <f>VLOOKUP(B42,'NYU to Reg'!B:C,2)</f>
        <v>sub-03</v>
      </c>
      <c r="D42" s="4" t="str">
        <f t="shared" si="1"/>
        <v>LGB71</v>
      </c>
    </row>
    <row r="43" spans="1:4">
      <c r="A43" s="16" t="s">
        <v>473</v>
      </c>
      <c r="B43" s="4" t="str">
        <f t="shared" si="0"/>
        <v>717</v>
      </c>
      <c r="C43" s="4" t="str">
        <f>VLOOKUP(B43,'NYU to Reg'!B:C,2)</f>
        <v>sub-03</v>
      </c>
      <c r="D43" s="4" t="str">
        <f t="shared" si="1"/>
        <v>LGB72</v>
      </c>
    </row>
    <row r="44" spans="1:4">
      <c r="A44" s="16" t="s">
        <v>474</v>
      </c>
      <c r="B44" s="4" t="str">
        <f t="shared" si="0"/>
        <v>717</v>
      </c>
      <c r="C44" s="4" t="str">
        <f>VLOOKUP(B44,'NYU to Reg'!B:C,2)</f>
        <v>sub-03</v>
      </c>
      <c r="D44" s="4" t="str">
        <f t="shared" si="1"/>
        <v>LGB74</v>
      </c>
    </row>
    <row r="45" spans="1:4">
      <c r="A45" s="16" t="s">
        <v>475</v>
      </c>
      <c r="B45" s="4" t="str">
        <f t="shared" si="0"/>
        <v>717</v>
      </c>
      <c r="C45" s="4" t="str">
        <f>VLOOKUP(B45,'NYU to Reg'!B:C,2)</f>
        <v>sub-03</v>
      </c>
      <c r="D45" s="4" t="str">
        <f t="shared" si="1"/>
        <v>LGB75</v>
      </c>
    </row>
    <row r="46" spans="1:4">
      <c r="A46" s="16" t="s">
        <v>476</v>
      </c>
      <c r="B46" s="4" t="str">
        <f t="shared" si="0"/>
        <v>717</v>
      </c>
      <c r="C46" s="4" t="str">
        <f>VLOOKUP(B46,'NYU to Reg'!B:C,2)</f>
        <v>sub-03</v>
      </c>
      <c r="D46" s="4" t="str">
        <f t="shared" si="1"/>
        <v>LGB78</v>
      </c>
    </row>
    <row r="47" spans="1:4">
      <c r="A47" s="16" t="s">
        <v>477</v>
      </c>
      <c r="B47" s="4" t="str">
        <f t="shared" si="0"/>
        <v>717</v>
      </c>
      <c r="C47" s="4" t="str">
        <f>VLOOKUP(B47,'NYU to Reg'!B:C,2)</f>
        <v>sub-03</v>
      </c>
      <c r="D47" s="4" t="str">
        <f t="shared" si="1"/>
        <v>LGB79</v>
      </c>
    </row>
    <row r="48" spans="1:4">
      <c r="A48" s="16" t="s">
        <v>478</v>
      </c>
      <c r="B48" s="4" t="str">
        <f t="shared" si="0"/>
        <v>717</v>
      </c>
      <c r="C48" s="4" t="str">
        <f>VLOOKUP(B48,'NYU to Reg'!B:C,2)</f>
        <v>sub-03</v>
      </c>
      <c r="D48" s="4" t="str">
        <f t="shared" si="1"/>
        <v>LGB80</v>
      </c>
    </row>
    <row r="49" spans="1:4">
      <c r="A49" s="16" t="s">
        <v>479</v>
      </c>
      <c r="B49" s="4" t="str">
        <f t="shared" si="0"/>
        <v>717</v>
      </c>
      <c r="C49" s="4" t="str">
        <f>VLOOKUP(B49,'NYU to Reg'!B:C,2)</f>
        <v>sub-03</v>
      </c>
      <c r="D49" s="4" t="str">
        <f t="shared" si="1"/>
        <v>LGB82</v>
      </c>
    </row>
    <row r="50" spans="1:4">
      <c r="A50" s="16" t="s">
        <v>480</v>
      </c>
      <c r="B50" s="4" t="str">
        <f t="shared" si="0"/>
        <v>717</v>
      </c>
      <c r="C50" s="4" t="str">
        <f>VLOOKUP(B50,'NYU to Reg'!B:C,2)</f>
        <v>sub-03</v>
      </c>
      <c r="D50" s="4" t="str">
        <f t="shared" si="1"/>
        <v>LGB86</v>
      </c>
    </row>
    <row r="51" spans="1:4" ht="16">
      <c r="A51" s="16" t="s">
        <v>481</v>
      </c>
      <c r="B51" s="4" t="str">
        <f t="shared" si="0"/>
        <v>717</v>
      </c>
      <c r="C51" s="4" t="str">
        <f>VLOOKUP(B51,'NYU to Reg'!B:C,2)</f>
        <v>sub-03</v>
      </c>
      <c r="D51" s="4" t="str">
        <f t="shared" si="1"/>
        <v>LGB87</v>
      </c>
    </row>
    <row r="52" spans="1:4" ht="16">
      <c r="A52" s="16" t="s">
        <v>482</v>
      </c>
      <c r="B52" s="4" t="str">
        <f t="shared" si="0"/>
        <v>717</v>
      </c>
      <c r="C52" s="4" t="str">
        <f>VLOOKUP(B52,'NYU to Reg'!B:C,2)</f>
        <v>sub-03</v>
      </c>
      <c r="D52" s="4" t="str">
        <f t="shared" si="1"/>
        <v>LGB88</v>
      </c>
    </row>
    <row r="53" spans="1:4" ht="16">
      <c r="A53" s="16" t="s">
        <v>483</v>
      </c>
      <c r="B53" s="4" t="str">
        <f t="shared" si="0"/>
        <v>717</v>
      </c>
      <c r="C53" s="4" t="str">
        <f>VLOOKUP(B53,'NYU to Reg'!B:C,2)</f>
        <v>sub-03</v>
      </c>
      <c r="D53" s="4" t="str">
        <f t="shared" si="1"/>
        <v>LGB92</v>
      </c>
    </row>
    <row r="54" spans="1:4" ht="16">
      <c r="A54" s="16" t="s">
        <v>484</v>
      </c>
      <c r="B54" s="4" t="str">
        <f t="shared" si="0"/>
        <v>717</v>
      </c>
      <c r="C54" s="4" t="str">
        <f>VLOOKUP(B54,'NYU to Reg'!B:C,2)</f>
        <v>sub-03</v>
      </c>
      <c r="D54" s="4" t="str">
        <f t="shared" si="1"/>
        <v>LGB93</v>
      </c>
    </row>
    <row r="55" spans="1:4" ht="16">
      <c r="A55" s="16" t="s">
        <v>485</v>
      </c>
      <c r="B55" s="4" t="str">
        <f t="shared" si="0"/>
        <v>717</v>
      </c>
      <c r="C55" s="4" t="str">
        <f>VLOOKUP(B55,'NYU to Reg'!B:C,2)</f>
        <v>sub-03</v>
      </c>
      <c r="D55" s="4" t="str">
        <f t="shared" si="1"/>
        <v>LGB94</v>
      </c>
    </row>
    <row r="56" spans="1:4" ht="16">
      <c r="A56" s="16" t="s">
        <v>486</v>
      </c>
      <c r="B56" s="4" t="str">
        <f t="shared" si="0"/>
        <v>717</v>
      </c>
      <c r="C56" s="4" t="str">
        <f>VLOOKUP(B56,'NYU to Reg'!B:C,2)</f>
        <v>sub-03</v>
      </c>
      <c r="D56" s="4" t="str">
        <f t="shared" si="1"/>
        <v>LGB95</v>
      </c>
    </row>
    <row r="57" spans="1:4" ht="16">
      <c r="A57" s="16" t="s">
        <v>487</v>
      </c>
      <c r="B57" s="4" t="str">
        <f t="shared" si="0"/>
        <v>717</v>
      </c>
      <c r="C57" s="4" t="str">
        <f>VLOOKUP(B57,'NYU to Reg'!B:C,2)</f>
        <v>sub-03</v>
      </c>
      <c r="D57" s="4" t="str">
        <f t="shared" si="1"/>
        <v>LGB96</v>
      </c>
    </row>
    <row r="58" spans="1:4" ht="16">
      <c r="A58" s="16" t="s">
        <v>488</v>
      </c>
      <c r="B58" s="4" t="str">
        <f t="shared" si="0"/>
        <v>717</v>
      </c>
      <c r="C58" s="4" t="str">
        <f>VLOOKUP(B58,'NYU to Reg'!B:C,2)</f>
        <v>sub-03</v>
      </c>
      <c r="D58" s="4" t="str">
        <f t="shared" si="1"/>
        <v>LOF4</v>
      </c>
    </row>
    <row r="59" spans="1:4" ht="16">
      <c r="A59" s="16" t="s">
        <v>489</v>
      </c>
      <c r="B59" s="4" t="str">
        <f t="shared" si="0"/>
        <v>723</v>
      </c>
      <c r="C59" s="4" t="str">
        <f>VLOOKUP(B59,'NYU to Reg'!B:C,2)</f>
        <v>sub-04</v>
      </c>
      <c r="D59" s="4" t="str">
        <f t="shared" si="1"/>
        <v>LDII10</v>
      </c>
    </row>
    <row r="60" spans="1:4" ht="16">
      <c r="A60" s="16" t="s">
        <v>490</v>
      </c>
      <c r="B60" s="4" t="str">
        <f t="shared" si="0"/>
        <v>723</v>
      </c>
      <c r="C60" s="4" t="str">
        <f>VLOOKUP(B60,'NYU to Reg'!B:C,2)</f>
        <v>sub-04</v>
      </c>
      <c r="D60" s="4" t="str">
        <f t="shared" si="1"/>
        <v>LDII6</v>
      </c>
    </row>
    <row r="61" spans="1:4" ht="16">
      <c r="A61" s="16" t="s">
        <v>491</v>
      </c>
      <c r="B61" s="4" t="str">
        <f t="shared" si="0"/>
        <v>723</v>
      </c>
      <c r="C61" s="4" t="str">
        <f>VLOOKUP(B61,'NYU to Reg'!B:C,2)</f>
        <v>sub-04</v>
      </c>
      <c r="D61" s="4" t="str">
        <f t="shared" si="1"/>
        <v>LDII7</v>
      </c>
    </row>
    <row r="62" spans="1:4" ht="16">
      <c r="A62" s="16" t="s">
        <v>492</v>
      </c>
      <c r="B62" s="4" t="str">
        <f t="shared" si="0"/>
        <v>723</v>
      </c>
      <c r="C62" s="4" t="str">
        <f>VLOOKUP(B62,'NYU to Reg'!B:C,2)</f>
        <v>sub-04</v>
      </c>
      <c r="D62" s="4" t="str">
        <f t="shared" si="1"/>
        <v>LDII8</v>
      </c>
    </row>
    <row r="63" spans="1:4" ht="16">
      <c r="A63" s="16" t="s">
        <v>493</v>
      </c>
      <c r="B63" s="4" t="str">
        <f t="shared" si="0"/>
        <v>723</v>
      </c>
      <c r="C63" s="4" t="str">
        <f>VLOOKUP(B63,'NYU to Reg'!B:C,2)</f>
        <v>sub-04</v>
      </c>
      <c r="D63" s="4" t="str">
        <f t="shared" si="1"/>
        <v>LDII9</v>
      </c>
    </row>
    <row r="64" spans="1:4" ht="16">
      <c r="A64" s="16" t="s">
        <v>494</v>
      </c>
      <c r="B64" s="4" t="str">
        <f t="shared" si="0"/>
        <v>723</v>
      </c>
      <c r="C64" s="4" t="str">
        <f>VLOOKUP(B64,'NYU to Reg'!B:C,2)</f>
        <v>sub-04</v>
      </c>
      <c r="D64" s="4" t="str">
        <f t="shared" si="1"/>
        <v>LDMT1</v>
      </c>
    </row>
    <row r="65" spans="1:4" ht="16">
      <c r="A65" s="16" t="s">
        <v>495</v>
      </c>
      <c r="B65" s="4" t="str">
        <f t="shared" si="0"/>
        <v>723</v>
      </c>
      <c r="C65" s="4" t="str">
        <f>VLOOKUP(B65,'NYU to Reg'!B:C,2)</f>
        <v>sub-04</v>
      </c>
      <c r="D65" s="4" t="str">
        <f t="shared" si="1"/>
        <v>LDMT2</v>
      </c>
    </row>
    <row r="66" spans="1:4" ht="16">
      <c r="A66" s="16" t="s">
        <v>496</v>
      </c>
      <c r="B66" s="4" t="str">
        <f t="shared" si="0"/>
        <v>723</v>
      </c>
      <c r="C66" s="4" t="str">
        <f>VLOOKUP(B66,'NYU to Reg'!B:C,2)</f>
        <v>sub-04</v>
      </c>
      <c r="D66" s="4" t="str">
        <f t="shared" si="1"/>
        <v>LDMT3</v>
      </c>
    </row>
    <row r="67" spans="1:4" ht="16">
      <c r="A67" s="16" t="s">
        <v>497</v>
      </c>
      <c r="B67" s="4" t="str">
        <f t="shared" si="0"/>
        <v>723</v>
      </c>
      <c r="C67" s="4" t="str">
        <f>VLOOKUP(B67,'NYU to Reg'!B:C,2)</f>
        <v>sub-04</v>
      </c>
      <c r="D67" s="4" t="str">
        <f t="shared" si="1"/>
        <v>LDSI10</v>
      </c>
    </row>
    <row r="68" spans="1:4" ht="16">
      <c r="A68" s="16" t="s">
        <v>498</v>
      </c>
      <c r="B68" s="4" t="str">
        <f t="shared" si="0"/>
        <v>723</v>
      </c>
      <c r="C68" s="4" t="str">
        <f>VLOOKUP(B68,'NYU to Reg'!B:C,2)</f>
        <v>sub-04</v>
      </c>
      <c r="D68" s="4" t="str">
        <f t="shared" si="1"/>
        <v>LDSI11</v>
      </c>
    </row>
    <row r="69" spans="1:4" ht="16">
      <c r="A69" s="16" t="s">
        <v>499</v>
      </c>
      <c r="B69" s="4" t="str">
        <f t="shared" si="0"/>
        <v>723</v>
      </c>
      <c r="C69" s="4" t="str">
        <f>VLOOKUP(B69,'NYU to Reg'!B:C,2)</f>
        <v>sub-04</v>
      </c>
      <c r="D69" s="4" t="str">
        <f t="shared" si="1"/>
        <v>LDSI8</v>
      </c>
    </row>
    <row r="70" spans="1:4" ht="16">
      <c r="A70" s="16" t="s">
        <v>500</v>
      </c>
      <c r="B70" s="4" t="str">
        <f t="shared" si="0"/>
        <v>723</v>
      </c>
      <c r="C70" s="4" t="str">
        <f>VLOOKUP(B70,'NYU to Reg'!B:C,2)</f>
        <v>sub-04</v>
      </c>
      <c r="D70" s="4" t="str">
        <f t="shared" si="1"/>
        <v>LDSI9</v>
      </c>
    </row>
    <row r="71" spans="1:4" ht="16">
      <c r="A71" s="16" t="s">
        <v>501</v>
      </c>
      <c r="B71" s="4" t="str">
        <f t="shared" si="0"/>
        <v>723</v>
      </c>
      <c r="C71" s="4" t="str">
        <f>VLOOKUP(B71,'NYU to Reg'!B:C,2)</f>
        <v>sub-04</v>
      </c>
      <c r="D71" s="4" t="str">
        <f t="shared" si="1"/>
        <v>LIF11</v>
      </c>
    </row>
    <row r="72" spans="1:4" ht="16">
      <c r="A72" s="16" t="s">
        <v>502</v>
      </c>
      <c r="B72" s="4" t="str">
        <f t="shared" si="0"/>
        <v>723</v>
      </c>
      <c r="C72" s="4" t="str">
        <f>VLOOKUP(B72,'NYU to Reg'!B:C,2)</f>
        <v>sub-04</v>
      </c>
      <c r="D72" s="4" t="str">
        <f t="shared" si="1"/>
        <v>LIF3</v>
      </c>
    </row>
    <row r="73" spans="1:4" ht="16">
      <c r="A73" s="16" t="s">
        <v>503</v>
      </c>
      <c r="B73" s="4" t="str">
        <f t="shared" si="0"/>
        <v>723</v>
      </c>
      <c r="C73" s="4" t="str">
        <f>VLOOKUP(B73,'NYU to Reg'!B:C,2)</f>
        <v>sub-04</v>
      </c>
      <c r="D73" s="4" t="str">
        <f t="shared" si="1"/>
        <v>LPT1</v>
      </c>
    </row>
    <row r="74" spans="1:4" ht="16">
      <c r="A74" s="16" t="s">
        <v>504</v>
      </c>
      <c r="B74" s="4" t="str">
        <f t="shared" si="0"/>
        <v>723</v>
      </c>
      <c r="C74" s="4" t="str">
        <f>VLOOKUP(B74,'NYU to Reg'!B:C,2)</f>
        <v>sub-04</v>
      </c>
      <c r="D74" s="4" t="str">
        <f t="shared" si="1"/>
        <v>LPT2</v>
      </c>
    </row>
    <row r="75" spans="1:4" ht="16">
      <c r="A75" s="16" t="s">
        <v>505</v>
      </c>
      <c r="B75" s="4" t="str">
        <f t="shared" si="0"/>
        <v>723</v>
      </c>
      <c r="C75" s="4" t="str">
        <f>VLOOKUP(B75,'NYU to Reg'!B:C,2)</f>
        <v>sub-04</v>
      </c>
      <c r="D75" s="4" t="str">
        <f t="shared" si="1"/>
        <v>LSF12</v>
      </c>
    </row>
    <row r="76" spans="1:4" ht="16">
      <c r="A76" s="16" t="s">
        <v>506</v>
      </c>
      <c r="B76" s="4" t="str">
        <f t="shared" si="0"/>
        <v>723</v>
      </c>
      <c r="C76" s="4" t="str">
        <f>VLOOKUP(B76,'NYU to Reg'!B:C,2)</f>
        <v>sub-04</v>
      </c>
      <c r="D76" s="4" t="str">
        <f t="shared" si="1"/>
        <v>LST1</v>
      </c>
    </row>
    <row r="77" spans="1:4" ht="16">
      <c r="A77" s="16" t="s">
        <v>507</v>
      </c>
      <c r="B77" s="4" t="str">
        <f t="shared" si="0"/>
        <v>723</v>
      </c>
      <c r="C77" s="4" t="str">
        <f>VLOOKUP(B77,'NYU to Reg'!B:C,2)</f>
        <v>sub-04</v>
      </c>
      <c r="D77" s="4" t="str">
        <f t="shared" si="1"/>
        <v>LST10</v>
      </c>
    </row>
    <row r="78" spans="1:4" ht="16">
      <c r="A78" s="16" t="s">
        <v>508</v>
      </c>
      <c r="B78" s="4" t="str">
        <f t="shared" si="0"/>
        <v>723</v>
      </c>
      <c r="C78" s="4" t="str">
        <f>VLOOKUP(B78,'NYU to Reg'!B:C,2)</f>
        <v>sub-04</v>
      </c>
      <c r="D78" s="4" t="str">
        <f t="shared" si="1"/>
        <v>LST7</v>
      </c>
    </row>
    <row r="79" spans="1:4" ht="16">
      <c r="A79" s="16" t="s">
        <v>509</v>
      </c>
      <c r="B79" s="4" t="str">
        <f t="shared" si="0"/>
        <v>723</v>
      </c>
      <c r="C79" s="4" t="str">
        <f>VLOOKUP(B79,'NYU to Reg'!B:C,2)</f>
        <v>sub-04</v>
      </c>
      <c r="D79" s="4" t="str">
        <f t="shared" si="1"/>
        <v>LST8</v>
      </c>
    </row>
    <row r="80" spans="1:4" ht="16">
      <c r="A80" s="16" t="s">
        <v>510</v>
      </c>
      <c r="B80" s="4" t="str">
        <f t="shared" si="0"/>
        <v>741</v>
      </c>
      <c r="C80" s="4" t="str">
        <f>VLOOKUP(B80,'NYU to Reg'!B:C,2)</f>
        <v>sub-05</v>
      </c>
      <c r="D80" s="4" t="str">
        <f t="shared" si="1"/>
        <v>GA14</v>
      </c>
    </row>
    <row r="81" spans="1:4" ht="16">
      <c r="A81" s="16" t="s">
        <v>511</v>
      </c>
      <c r="B81" s="4" t="str">
        <f t="shared" si="0"/>
        <v>741</v>
      </c>
      <c r="C81" s="4" t="str">
        <f>VLOOKUP(B81,'NYU to Reg'!B:C,2)</f>
        <v>sub-05</v>
      </c>
      <c r="D81" s="4" t="str">
        <f t="shared" si="1"/>
        <v>GA23</v>
      </c>
    </row>
    <row r="82" spans="1:4" ht="16">
      <c r="A82" s="16" t="s">
        <v>512</v>
      </c>
      <c r="B82" s="4" t="str">
        <f t="shared" si="0"/>
        <v>741</v>
      </c>
      <c r="C82" s="4" t="str">
        <f>VLOOKUP(B82,'NYU to Reg'!B:C,2)</f>
        <v>sub-05</v>
      </c>
      <c r="D82" s="4" t="str">
        <f t="shared" si="1"/>
        <v>GA41</v>
      </c>
    </row>
    <row r="83" spans="1:4" ht="16">
      <c r="A83" s="16" t="s">
        <v>513</v>
      </c>
      <c r="B83" s="4" t="str">
        <f t="shared" si="0"/>
        <v>741</v>
      </c>
      <c r="C83" s="4" t="str">
        <f>VLOOKUP(B83,'NYU to Reg'!B:C,2)</f>
        <v>sub-05</v>
      </c>
      <c r="D83" s="4" t="str">
        <f t="shared" si="1"/>
        <v>GA42</v>
      </c>
    </row>
    <row r="84" spans="1:4" ht="16">
      <c r="A84" s="16" t="s">
        <v>514</v>
      </c>
      <c r="B84" s="4" t="str">
        <f t="shared" si="0"/>
        <v>741</v>
      </c>
      <c r="C84" s="4" t="str">
        <f>VLOOKUP(B84,'NYU to Reg'!B:C,2)</f>
        <v>sub-05</v>
      </c>
      <c r="D84" s="4" t="str">
        <f t="shared" si="1"/>
        <v>GA44</v>
      </c>
    </row>
    <row r="85" spans="1:4" ht="16">
      <c r="A85" s="16" t="s">
        <v>515</v>
      </c>
      <c r="B85" s="4" t="str">
        <f t="shared" si="0"/>
        <v>741</v>
      </c>
      <c r="C85" s="4" t="str">
        <f>VLOOKUP(B85,'NYU to Reg'!B:C,2)</f>
        <v>sub-05</v>
      </c>
      <c r="D85" s="4" t="str">
        <f t="shared" si="1"/>
        <v>GA45</v>
      </c>
    </row>
    <row r="86" spans="1:4" ht="16">
      <c r="A86" s="16" t="s">
        <v>516</v>
      </c>
      <c r="B86" s="4" t="str">
        <f t="shared" si="0"/>
        <v>741</v>
      </c>
      <c r="C86" s="4" t="str">
        <f>VLOOKUP(B86,'NYU to Reg'!B:C,2)</f>
        <v>sub-05</v>
      </c>
      <c r="D86" s="4" t="str">
        <f t="shared" si="1"/>
        <v>GA46</v>
      </c>
    </row>
    <row r="87" spans="1:4" ht="16">
      <c r="A87" s="16" t="s">
        <v>517</v>
      </c>
      <c r="B87" s="4" t="str">
        <f t="shared" si="0"/>
        <v>741</v>
      </c>
      <c r="C87" s="4" t="str">
        <f>VLOOKUP(B87,'NYU to Reg'!B:C,2)</f>
        <v>sub-05</v>
      </c>
      <c r="D87" s="4" t="str">
        <f t="shared" si="1"/>
        <v>GA47</v>
      </c>
    </row>
    <row r="88" spans="1:4" ht="16">
      <c r="A88" s="16" t="s">
        <v>518</v>
      </c>
      <c r="B88" s="4" t="str">
        <f t="shared" si="0"/>
        <v>741</v>
      </c>
      <c r="C88" s="4" t="str">
        <f>VLOOKUP(B88,'NYU to Reg'!B:C,2)</f>
        <v>sub-05</v>
      </c>
      <c r="D88" s="4" t="str">
        <f t="shared" si="1"/>
        <v>GA52</v>
      </c>
    </row>
    <row r="89" spans="1:4" ht="16">
      <c r="A89" s="16" t="s">
        <v>519</v>
      </c>
      <c r="B89" s="4" t="str">
        <f t="shared" si="0"/>
        <v>741</v>
      </c>
      <c r="C89" s="4" t="str">
        <f>VLOOKUP(B89,'NYU to Reg'!B:C,2)</f>
        <v>sub-05</v>
      </c>
      <c r="D89" s="4" t="str">
        <f t="shared" si="1"/>
        <v>GA54</v>
      </c>
    </row>
    <row r="90" spans="1:4" ht="16">
      <c r="A90" s="16" t="s">
        <v>520</v>
      </c>
      <c r="B90" s="4" t="str">
        <f t="shared" si="0"/>
        <v>742</v>
      </c>
      <c r="C90" s="4" t="str">
        <f>VLOOKUP(B90,'NYU to Reg'!B:C,2)</f>
        <v>sub-06</v>
      </c>
      <c r="D90" s="4" t="str">
        <f t="shared" si="1"/>
        <v>G101</v>
      </c>
    </row>
    <row r="91" spans="1:4" ht="16">
      <c r="A91" s="16" t="s">
        <v>521</v>
      </c>
      <c r="B91" s="4" t="str">
        <f t="shared" si="0"/>
        <v>742</v>
      </c>
      <c r="C91" s="4" t="str">
        <f>VLOOKUP(B91,'NYU to Reg'!B:C,2)</f>
        <v>sub-06</v>
      </c>
      <c r="D91" s="4" t="str">
        <f t="shared" si="1"/>
        <v>G102</v>
      </c>
    </row>
    <row r="92" spans="1:4" ht="16">
      <c r="A92" s="16" t="s">
        <v>522</v>
      </c>
      <c r="B92" s="4" t="str">
        <f t="shared" si="0"/>
        <v>742</v>
      </c>
      <c r="C92" s="4" t="str">
        <f>VLOOKUP(B92,'NYU to Reg'!B:C,2)</f>
        <v>sub-06</v>
      </c>
      <c r="D92" s="4" t="str">
        <f t="shared" si="1"/>
        <v>G103</v>
      </c>
    </row>
    <row r="93" spans="1:4" ht="16">
      <c r="A93" s="16" t="s">
        <v>523</v>
      </c>
      <c r="B93" s="4" t="str">
        <f t="shared" si="0"/>
        <v>742</v>
      </c>
      <c r="C93" s="4" t="str">
        <f>VLOOKUP(B93,'NYU to Reg'!B:C,2)</f>
        <v>sub-06</v>
      </c>
      <c r="D93" s="4" t="str">
        <f t="shared" si="1"/>
        <v>G104</v>
      </c>
    </row>
    <row r="94" spans="1:4" ht="16">
      <c r="A94" s="16" t="s">
        <v>524</v>
      </c>
      <c r="B94" s="4" t="str">
        <f t="shared" si="0"/>
        <v>742</v>
      </c>
      <c r="C94" s="4" t="str">
        <f>VLOOKUP(B94,'NYU to Reg'!B:C,2)</f>
        <v>sub-06</v>
      </c>
      <c r="D94" s="4" t="str">
        <f t="shared" si="1"/>
        <v>G108</v>
      </c>
    </row>
    <row r="95" spans="1:4" ht="16">
      <c r="A95" s="16" t="s">
        <v>525</v>
      </c>
      <c r="B95" s="4" t="str">
        <f t="shared" si="0"/>
        <v>742</v>
      </c>
      <c r="C95" s="4" t="str">
        <f>VLOOKUP(B95,'NYU to Reg'!B:C,2)</f>
        <v>sub-06</v>
      </c>
      <c r="D95" s="4" t="str">
        <f t="shared" si="1"/>
        <v>G110</v>
      </c>
    </row>
    <row r="96" spans="1:4" ht="16">
      <c r="A96" s="16" t="s">
        <v>526</v>
      </c>
      <c r="B96" s="4" t="str">
        <f t="shared" si="0"/>
        <v>742</v>
      </c>
      <c r="C96" s="4" t="str">
        <f>VLOOKUP(B96,'NYU to Reg'!B:C,2)</f>
        <v>sub-06</v>
      </c>
      <c r="D96" s="4" t="str">
        <f t="shared" si="1"/>
        <v>G111</v>
      </c>
    </row>
    <row r="97" spans="1:4" ht="16">
      <c r="A97" s="16" t="s">
        <v>527</v>
      </c>
      <c r="B97" s="4" t="str">
        <f t="shared" si="0"/>
        <v>742</v>
      </c>
      <c r="C97" s="4" t="str">
        <f>VLOOKUP(B97,'NYU to Reg'!B:C,2)</f>
        <v>sub-06</v>
      </c>
      <c r="D97" s="4" t="str">
        <f t="shared" si="1"/>
        <v>G113</v>
      </c>
    </row>
    <row r="98" spans="1:4" ht="16">
      <c r="A98" s="16" t="s">
        <v>528</v>
      </c>
      <c r="B98" s="4" t="str">
        <f t="shared" si="0"/>
        <v>742</v>
      </c>
      <c r="C98" s="4" t="str">
        <f>VLOOKUP(B98,'NYU to Reg'!B:C,2)</f>
        <v>sub-06</v>
      </c>
      <c r="D98" s="4" t="str">
        <f t="shared" si="1"/>
        <v>G114</v>
      </c>
    </row>
    <row r="99" spans="1:4" ht="16">
      <c r="A99" s="16" t="s">
        <v>529</v>
      </c>
      <c r="B99" s="4" t="str">
        <f t="shared" si="0"/>
        <v>742</v>
      </c>
      <c r="C99" s="4" t="str">
        <f>VLOOKUP(B99,'NYU to Reg'!B:C,2)</f>
        <v>sub-06</v>
      </c>
      <c r="D99" s="4" t="str">
        <f t="shared" si="1"/>
        <v>G115</v>
      </c>
    </row>
    <row r="100" spans="1:4" ht="16">
      <c r="A100" s="16" t="s">
        <v>530</v>
      </c>
      <c r="B100" s="4" t="str">
        <f t="shared" si="0"/>
        <v>742</v>
      </c>
      <c r="C100" s="4" t="str">
        <f>VLOOKUP(B100,'NYU to Reg'!B:C,2)</f>
        <v>sub-06</v>
      </c>
      <c r="D100" s="4" t="str">
        <f t="shared" si="1"/>
        <v>G116</v>
      </c>
    </row>
    <row r="101" spans="1:4" ht="16">
      <c r="A101" s="16" t="s">
        <v>531</v>
      </c>
      <c r="B101" s="4" t="str">
        <f t="shared" si="0"/>
        <v>742</v>
      </c>
      <c r="C101" s="4" t="str">
        <f>VLOOKUP(B101,'NYU to Reg'!B:C,2)</f>
        <v>sub-06</v>
      </c>
      <c r="D101" s="4" t="str">
        <f t="shared" si="1"/>
        <v>G119</v>
      </c>
    </row>
    <row r="102" spans="1:4" ht="16">
      <c r="A102" s="16" t="s">
        <v>532</v>
      </c>
      <c r="B102" s="4" t="str">
        <f t="shared" si="0"/>
        <v>742</v>
      </c>
      <c r="C102" s="4" t="str">
        <f>VLOOKUP(B102,'NYU to Reg'!B:C,2)</f>
        <v>sub-06</v>
      </c>
      <c r="D102" s="4" t="str">
        <f t="shared" si="1"/>
        <v>G120</v>
      </c>
    </row>
    <row r="103" spans="1:4" ht="16">
      <c r="A103" s="16" t="s">
        <v>533</v>
      </c>
      <c r="B103" s="4" t="str">
        <f t="shared" si="0"/>
        <v>742</v>
      </c>
      <c r="C103" s="4" t="str">
        <f>VLOOKUP(B103,'NYU to Reg'!B:C,2)</f>
        <v>sub-06</v>
      </c>
      <c r="D103" s="4" t="str">
        <f t="shared" si="1"/>
        <v>G121</v>
      </c>
    </row>
    <row r="104" spans="1:4" ht="16">
      <c r="A104" s="16" t="s">
        <v>534</v>
      </c>
      <c r="B104" s="4" t="str">
        <f t="shared" si="0"/>
        <v>742</v>
      </c>
      <c r="C104" s="4" t="str">
        <f>VLOOKUP(B104,'NYU to Reg'!B:C,2)</f>
        <v>sub-06</v>
      </c>
      <c r="D104" s="4" t="str">
        <f t="shared" si="1"/>
        <v>G122</v>
      </c>
    </row>
    <row r="105" spans="1:4" ht="16">
      <c r="A105" s="16" t="s">
        <v>535</v>
      </c>
      <c r="B105" s="4" t="str">
        <f t="shared" si="0"/>
        <v>742</v>
      </c>
      <c r="C105" s="4" t="str">
        <f>VLOOKUP(B105,'NYU to Reg'!B:C,2)</f>
        <v>sub-06</v>
      </c>
      <c r="D105" s="4" t="str">
        <f t="shared" si="1"/>
        <v>G123</v>
      </c>
    </row>
    <row r="106" spans="1:4" ht="16">
      <c r="A106" s="16" t="s">
        <v>536</v>
      </c>
      <c r="B106" s="4" t="str">
        <f t="shared" si="0"/>
        <v>742</v>
      </c>
      <c r="C106" s="4" t="str">
        <f>VLOOKUP(B106,'NYU to Reg'!B:C,2)</f>
        <v>sub-06</v>
      </c>
      <c r="D106" s="4" t="str">
        <f t="shared" si="1"/>
        <v>G124</v>
      </c>
    </row>
    <row r="107" spans="1:4" ht="16">
      <c r="A107" s="16" t="s">
        <v>537</v>
      </c>
      <c r="B107" s="4" t="str">
        <f t="shared" si="0"/>
        <v>742</v>
      </c>
      <c r="C107" s="4" t="str">
        <f>VLOOKUP(B107,'NYU to Reg'!B:C,2)</f>
        <v>sub-06</v>
      </c>
      <c r="D107" s="4" t="str">
        <f t="shared" si="1"/>
        <v>G125</v>
      </c>
    </row>
    <row r="108" spans="1:4" ht="16">
      <c r="A108" s="16" t="s">
        <v>538</v>
      </c>
      <c r="B108" s="4" t="str">
        <f t="shared" si="0"/>
        <v>742</v>
      </c>
      <c r="C108" s="4" t="str">
        <f>VLOOKUP(B108,'NYU to Reg'!B:C,2)</f>
        <v>sub-06</v>
      </c>
      <c r="D108" s="4" t="str">
        <f t="shared" si="1"/>
        <v>G128</v>
      </c>
    </row>
    <row r="109" spans="1:4" ht="16">
      <c r="A109" s="16" t="s">
        <v>539</v>
      </c>
      <c r="B109" s="4" t="str">
        <f t="shared" si="0"/>
        <v>742</v>
      </c>
      <c r="C109" s="4" t="str">
        <f>VLOOKUP(B109,'NYU to Reg'!B:C,2)</f>
        <v>sub-06</v>
      </c>
      <c r="D109" s="4" t="str">
        <f t="shared" si="1"/>
        <v>G15</v>
      </c>
    </row>
    <row r="110" spans="1:4" ht="16">
      <c r="A110" s="16" t="s">
        <v>540</v>
      </c>
      <c r="B110" s="4" t="str">
        <f t="shared" si="0"/>
        <v>742</v>
      </c>
      <c r="C110" s="4" t="str">
        <f>VLOOKUP(B110,'NYU to Reg'!B:C,2)</f>
        <v>sub-06</v>
      </c>
      <c r="D110" s="4" t="str">
        <f t="shared" si="1"/>
        <v>G16</v>
      </c>
    </row>
    <row r="111" spans="1:4" ht="16">
      <c r="A111" s="16" t="s">
        <v>541</v>
      </c>
      <c r="B111" s="4" t="str">
        <f t="shared" si="0"/>
        <v>742</v>
      </c>
      <c r="C111" s="4" t="str">
        <f>VLOOKUP(B111,'NYU to Reg'!B:C,2)</f>
        <v>sub-06</v>
      </c>
      <c r="D111" s="4" t="str">
        <f t="shared" si="1"/>
        <v>G17</v>
      </c>
    </row>
    <row r="112" spans="1:4" ht="16">
      <c r="A112" s="16" t="s">
        <v>542</v>
      </c>
      <c r="B112" s="4" t="str">
        <f t="shared" si="0"/>
        <v>742</v>
      </c>
      <c r="C112" s="4" t="str">
        <f>VLOOKUP(B112,'NYU to Reg'!B:C,2)</f>
        <v>sub-06</v>
      </c>
      <c r="D112" s="4" t="str">
        <f t="shared" si="1"/>
        <v>G22</v>
      </c>
    </row>
    <row r="113" spans="1:4" ht="16">
      <c r="A113" s="16" t="s">
        <v>543</v>
      </c>
      <c r="B113" s="4" t="str">
        <f t="shared" si="0"/>
        <v>742</v>
      </c>
      <c r="C113" s="4" t="str">
        <f>VLOOKUP(B113,'NYU to Reg'!B:C,2)</f>
        <v>sub-06</v>
      </c>
      <c r="D113" s="4" t="str">
        <f t="shared" si="1"/>
        <v>G23</v>
      </c>
    </row>
    <row r="114" spans="1:4" ht="16">
      <c r="A114" s="16" t="s">
        <v>544</v>
      </c>
      <c r="B114" s="4" t="str">
        <f t="shared" si="0"/>
        <v>742</v>
      </c>
      <c r="C114" s="4" t="str">
        <f>VLOOKUP(B114,'NYU to Reg'!B:C,2)</f>
        <v>sub-06</v>
      </c>
      <c r="D114" s="4" t="str">
        <f t="shared" si="1"/>
        <v>G24</v>
      </c>
    </row>
    <row r="115" spans="1:4" ht="16">
      <c r="A115" s="16" t="s">
        <v>545</v>
      </c>
      <c r="B115" s="4" t="str">
        <f t="shared" si="0"/>
        <v>742</v>
      </c>
      <c r="C115" s="4" t="str">
        <f>VLOOKUP(B115,'NYU to Reg'!B:C,2)</f>
        <v>sub-06</v>
      </c>
      <c r="D115" s="4" t="str">
        <f t="shared" si="1"/>
        <v>G26</v>
      </c>
    </row>
    <row r="116" spans="1:4" ht="16">
      <c r="A116" s="16" t="s">
        <v>546</v>
      </c>
      <c r="B116" s="4" t="str">
        <f t="shared" si="0"/>
        <v>742</v>
      </c>
      <c r="C116" s="4" t="str">
        <f>VLOOKUP(B116,'NYU to Reg'!B:C,2)</f>
        <v>sub-06</v>
      </c>
      <c r="D116" s="4" t="str">
        <f t="shared" si="1"/>
        <v>G30</v>
      </c>
    </row>
    <row r="117" spans="1:4" ht="16">
      <c r="A117" s="16" t="s">
        <v>547</v>
      </c>
      <c r="B117" s="4" t="str">
        <f t="shared" si="0"/>
        <v>742</v>
      </c>
      <c r="C117" s="4" t="str">
        <f>VLOOKUP(B117,'NYU to Reg'!B:C,2)</f>
        <v>sub-06</v>
      </c>
      <c r="D117" s="4" t="str">
        <f t="shared" si="1"/>
        <v>G31</v>
      </c>
    </row>
    <row r="118" spans="1:4" ht="16">
      <c r="A118" s="16" t="s">
        <v>548</v>
      </c>
      <c r="B118" s="4" t="str">
        <f t="shared" si="0"/>
        <v>742</v>
      </c>
      <c r="C118" s="4" t="str">
        <f>VLOOKUP(B118,'NYU to Reg'!B:C,2)</f>
        <v>sub-06</v>
      </c>
      <c r="D118" s="4" t="str">
        <f t="shared" si="1"/>
        <v>G34</v>
      </c>
    </row>
    <row r="119" spans="1:4" ht="16">
      <c r="A119" s="16" t="s">
        <v>549</v>
      </c>
      <c r="B119" s="4" t="str">
        <f t="shared" si="0"/>
        <v>742</v>
      </c>
      <c r="C119" s="4" t="str">
        <f>VLOOKUP(B119,'NYU to Reg'!B:C,2)</f>
        <v>sub-06</v>
      </c>
      <c r="D119" s="4" t="str">
        <f t="shared" si="1"/>
        <v>G35</v>
      </c>
    </row>
    <row r="120" spans="1:4" ht="16">
      <c r="A120" s="16" t="s">
        <v>550</v>
      </c>
      <c r="B120" s="4" t="str">
        <f t="shared" si="0"/>
        <v>742</v>
      </c>
      <c r="C120" s="4" t="str">
        <f>VLOOKUP(B120,'NYU to Reg'!B:C,2)</f>
        <v>sub-06</v>
      </c>
      <c r="D120" s="4" t="str">
        <f t="shared" si="1"/>
        <v>G37</v>
      </c>
    </row>
    <row r="121" spans="1:4" ht="16">
      <c r="A121" s="16" t="s">
        <v>551</v>
      </c>
      <c r="B121" s="4" t="str">
        <f t="shared" si="0"/>
        <v>742</v>
      </c>
      <c r="C121" s="4" t="str">
        <f>VLOOKUP(B121,'NYU to Reg'!B:C,2)</f>
        <v>sub-06</v>
      </c>
      <c r="D121" s="4" t="str">
        <f t="shared" si="1"/>
        <v>G38</v>
      </c>
    </row>
    <row r="122" spans="1:4" ht="16">
      <c r="A122" s="16" t="s">
        <v>552</v>
      </c>
      <c r="B122" s="4" t="str">
        <f t="shared" si="0"/>
        <v>742</v>
      </c>
      <c r="C122" s="4" t="str">
        <f>VLOOKUP(B122,'NYU to Reg'!B:C,2)</f>
        <v>sub-06</v>
      </c>
      <c r="D122" s="4" t="str">
        <f t="shared" si="1"/>
        <v>G39</v>
      </c>
    </row>
    <row r="123" spans="1:4" ht="16">
      <c r="A123" s="16" t="s">
        <v>553</v>
      </c>
      <c r="B123" s="4" t="str">
        <f t="shared" si="0"/>
        <v>742</v>
      </c>
      <c r="C123" s="4" t="str">
        <f>VLOOKUP(B123,'NYU to Reg'!B:C,2)</f>
        <v>sub-06</v>
      </c>
      <c r="D123" s="4" t="str">
        <f t="shared" si="1"/>
        <v>G42</v>
      </c>
    </row>
    <row r="124" spans="1:4" ht="16">
      <c r="A124" s="16" t="s">
        <v>554</v>
      </c>
      <c r="B124" s="4" t="str">
        <f t="shared" si="0"/>
        <v>742</v>
      </c>
      <c r="C124" s="4" t="str">
        <f>VLOOKUP(B124,'NYU to Reg'!B:C,2)</f>
        <v>sub-06</v>
      </c>
      <c r="D124" s="4" t="str">
        <f t="shared" si="1"/>
        <v>G43</v>
      </c>
    </row>
    <row r="125" spans="1:4" ht="16">
      <c r="A125" s="16" t="s">
        <v>555</v>
      </c>
      <c r="B125" s="4" t="str">
        <f t="shared" si="0"/>
        <v>742</v>
      </c>
      <c r="C125" s="4" t="str">
        <f>VLOOKUP(B125,'NYU to Reg'!B:C,2)</f>
        <v>sub-06</v>
      </c>
      <c r="D125" s="4" t="str">
        <f t="shared" si="1"/>
        <v>G44</v>
      </c>
    </row>
    <row r="126" spans="1:4" ht="16">
      <c r="A126" s="16" t="s">
        <v>556</v>
      </c>
      <c r="B126" s="4" t="str">
        <f t="shared" si="0"/>
        <v>742</v>
      </c>
      <c r="C126" s="4" t="str">
        <f>VLOOKUP(B126,'NYU to Reg'!B:C,2)</f>
        <v>sub-06</v>
      </c>
      <c r="D126" s="4" t="str">
        <f t="shared" si="1"/>
        <v>G45</v>
      </c>
    </row>
    <row r="127" spans="1:4" ht="16">
      <c r="A127" s="16" t="s">
        <v>557</v>
      </c>
      <c r="B127" s="4" t="str">
        <f t="shared" si="0"/>
        <v>742</v>
      </c>
      <c r="C127" s="4" t="str">
        <f>VLOOKUP(B127,'NYU to Reg'!B:C,2)</f>
        <v>sub-06</v>
      </c>
      <c r="D127" s="4" t="str">
        <f t="shared" si="1"/>
        <v>G48</v>
      </c>
    </row>
    <row r="128" spans="1:4" ht="16">
      <c r="A128" s="16" t="s">
        <v>558</v>
      </c>
      <c r="B128" s="4" t="str">
        <f t="shared" si="0"/>
        <v>742</v>
      </c>
      <c r="C128" s="4" t="str">
        <f>VLOOKUP(B128,'NYU to Reg'!B:C,2)</f>
        <v>sub-06</v>
      </c>
      <c r="D128" s="4" t="str">
        <f t="shared" si="1"/>
        <v>G52</v>
      </c>
    </row>
    <row r="129" spans="1:4" ht="16">
      <c r="A129" s="16" t="s">
        <v>559</v>
      </c>
      <c r="B129" s="4" t="str">
        <f t="shared" si="0"/>
        <v>742</v>
      </c>
      <c r="C129" s="4" t="str">
        <f>VLOOKUP(B129,'NYU to Reg'!B:C,2)</f>
        <v>sub-06</v>
      </c>
      <c r="D129" s="4" t="str">
        <f t="shared" si="1"/>
        <v>G53</v>
      </c>
    </row>
    <row r="130" spans="1:4" ht="16">
      <c r="A130" s="16" t="s">
        <v>560</v>
      </c>
      <c r="B130" s="4" t="str">
        <f t="shared" si="0"/>
        <v>742</v>
      </c>
      <c r="C130" s="4" t="str">
        <f>VLOOKUP(B130,'NYU to Reg'!B:C,2)</f>
        <v>sub-06</v>
      </c>
      <c r="D130" s="4" t="str">
        <f t="shared" si="1"/>
        <v>G54</v>
      </c>
    </row>
    <row r="131" spans="1:4" ht="16">
      <c r="A131" s="16" t="s">
        <v>561</v>
      </c>
      <c r="B131" s="4" t="str">
        <f t="shared" si="0"/>
        <v>742</v>
      </c>
      <c r="C131" s="4" t="str">
        <f>VLOOKUP(B131,'NYU to Reg'!B:C,2)</f>
        <v>sub-06</v>
      </c>
      <c r="D131" s="4" t="str">
        <f t="shared" si="1"/>
        <v>G55</v>
      </c>
    </row>
    <row r="132" spans="1:4" ht="16">
      <c r="A132" s="16" t="s">
        <v>562</v>
      </c>
      <c r="B132" s="4" t="str">
        <f t="shared" si="0"/>
        <v>742</v>
      </c>
      <c r="C132" s="4" t="str">
        <f>VLOOKUP(B132,'NYU to Reg'!B:C,2)</f>
        <v>sub-06</v>
      </c>
      <c r="D132" s="4" t="str">
        <f t="shared" si="1"/>
        <v>G56</v>
      </c>
    </row>
    <row r="133" spans="1:4" ht="16">
      <c r="A133" s="16" t="s">
        <v>563</v>
      </c>
      <c r="B133" s="4" t="str">
        <f t="shared" si="0"/>
        <v>742</v>
      </c>
      <c r="C133" s="4" t="str">
        <f>VLOOKUP(B133,'NYU to Reg'!B:C,2)</f>
        <v>sub-06</v>
      </c>
      <c r="D133" s="4" t="str">
        <f t="shared" si="1"/>
        <v>G59</v>
      </c>
    </row>
    <row r="134" spans="1:4" ht="16">
      <c r="A134" s="16" t="s">
        <v>564</v>
      </c>
      <c r="B134" s="4" t="str">
        <f t="shared" si="0"/>
        <v>742</v>
      </c>
      <c r="C134" s="4" t="str">
        <f>VLOOKUP(B134,'NYU to Reg'!B:C,2)</f>
        <v>sub-06</v>
      </c>
      <c r="D134" s="4" t="str">
        <f t="shared" si="1"/>
        <v>G60</v>
      </c>
    </row>
    <row r="135" spans="1:4" ht="16">
      <c r="A135" s="16" t="s">
        <v>565</v>
      </c>
      <c r="B135" s="4" t="str">
        <f t="shared" si="0"/>
        <v>742</v>
      </c>
      <c r="C135" s="4" t="str">
        <f>VLOOKUP(B135,'NYU to Reg'!B:C,2)</f>
        <v>sub-06</v>
      </c>
      <c r="D135" s="4" t="str">
        <f t="shared" si="1"/>
        <v>G61</v>
      </c>
    </row>
    <row r="136" spans="1:4" ht="16">
      <c r="A136" s="16" t="s">
        <v>566</v>
      </c>
      <c r="B136" s="4" t="str">
        <f t="shared" si="0"/>
        <v>742</v>
      </c>
      <c r="C136" s="4" t="str">
        <f>VLOOKUP(B136,'NYU to Reg'!B:C,2)</f>
        <v>sub-06</v>
      </c>
      <c r="D136" s="4" t="str">
        <f t="shared" si="1"/>
        <v>G63</v>
      </c>
    </row>
    <row r="137" spans="1:4" ht="16">
      <c r="A137" s="16" t="s">
        <v>567</v>
      </c>
      <c r="B137" s="4" t="str">
        <f t="shared" si="0"/>
        <v>742</v>
      </c>
      <c r="C137" s="4" t="str">
        <f>VLOOKUP(B137,'NYU to Reg'!B:C,2)</f>
        <v>sub-06</v>
      </c>
      <c r="D137" s="4" t="str">
        <f t="shared" si="1"/>
        <v>G7</v>
      </c>
    </row>
    <row r="138" spans="1:4" ht="16">
      <c r="A138" s="16" t="s">
        <v>568</v>
      </c>
      <c r="B138" s="4" t="str">
        <f t="shared" si="0"/>
        <v>742</v>
      </c>
      <c r="C138" s="4" t="str">
        <f>VLOOKUP(B138,'NYU to Reg'!B:C,2)</f>
        <v>sub-06</v>
      </c>
      <c r="D138" s="4" t="str">
        <f t="shared" si="1"/>
        <v>G75</v>
      </c>
    </row>
    <row r="139" spans="1:4" ht="16">
      <c r="A139" s="16" t="s">
        <v>569</v>
      </c>
      <c r="B139" s="4" t="str">
        <f t="shared" si="0"/>
        <v>742</v>
      </c>
      <c r="C139" s="4" t="str">
        <f>VLOOKUP(B139,'NYU to Reg'!B:C,2)</f>
        <v>sub-06</v>
      </c>
      <c r="D139" s="4" t="str">
        <f t="shared" si="1"/>
        <v>G76</v>
      </c>
    </row>
    <row r="140" spans="1:4" ht="16">
      <c r="A140" s="16" t="s">
        <v>570</v>
      </c>
      <c r="B140" s="4" t="str">
        <f t="shared" si="0"/>
        <v>742</v>
      </c>
      <c r="C140" s="4" t="str">
        <f>VLOOKUP(B140,'NYU to Reg'!B:C,2)</f>
        <v>sub-06</v>
      </c>
      <c r="D140" s="4" t="str">
        <f t="shared" si="1"/>
        <v>G93</v>
      </c>
    </row>
    <row r="141" spans="1:4" ht="16">
      <c r="A141" s="16" t="s">
        <v>571</v>
      </c>
      <c r="B141" s="4" t="str">
        <f t="shared" si="0"/>
        <v>742</v>
      </c>
      <c r="C141" s="4" t="str">
        <f>VLOOKUP(B141,'NYU to Reg'!B:C,2)</f>
        <v>sub-06</v>
      </c>
      <c r="D141" s="4" t="str">
        <f t="shared" si="1"/>
        <v>G94</v>
      </c>
    </row>
    <row r="142" spans="1:4" ht="16">
      <c r="A142" s="16" t="s">
        <v>572</v>
      </c>
      <c r="B142" s="4" t="str">
        <f t="shared" si="0"/>
        <v>742</v>
      </c>
      <c r="C142" s="4" t="str">
        <f>VLOOKUP(B142,'NYU to Reg'!B:C,2)</f>
        <v>sub-06</v>
      </c>
      <c r="D142" s="4" t="str">
        <f t="shared" si="1"/>
        <v>dMF4</v>
      </c>
    </row>
    <row r="143" spans="1:4" ht="16">
      <c r="A143" s="16" t="s">
        <v>573</v>
      </c>
      <c r="B143" s="4" t="str">
        <f t="shared" si="0"/>
        <v>742</v>
      </c>
      <c r="C143" s="4" t="str">
        <f>VLOOKUP(B143,'NYU to Reg'!B:C,2)</f>
        <v>sub-06</v>
      </c>
      <c r="D143" s="4" t="str">
        <f t="shared" si="1"/>
        <v>dMF5</v>
      </c>
    </row>
    <row r="144" spans="1:4" ht="16">
      <c r="A144" s="16" t="s">
        <v>574</v>
      </c>
      <c r="B144" s="4" t="str">
        <f t="shared" si="0"/>
        <v>742</v>
      </c>
      <c r="C144" s="4" t="str">
        <f>VLOOKUP(B144,'NYU to Reg'!B:C,2)</f>
        <v>sub-06</v>
      </c>
      <c r="D144" s="4" t="str">
        <f t="shared" si="1"/>
        <v>dPI5</v>
      </c>
    </row>
    <row r="145" spans="1:4" ht="16">
      <c r="A145" s="16" t="s">
        <v>575</v>
      </c>
      <c r="B145" s="4" t="str">
        <f t="shared" si="0"/>
        <v>743</v>
      </c>
      <c r="C145" s="4" t="str">
        <f>VLOOKUP(B145,'NYU to Reg'!B:C,2)</f>
        <v>sub-07</v>
      </c>
      <c r="D145" s="4" t="str">
        <f t="shared" si="1"/>
        <v>G11</v>
      </c>
    </row>
    <row r="146" spans="1:4" ht="16">
      <c r="A146" s="16" t="s">
        <v>576</v>
      </c>
      <c r="B146" s="4" t="str">
        <f t="shared" si="0"/>
        <v>743</v>
      </c>
      <c r="C146" s="4" t="str">
        <f>VLOOKUP(B146,'NYU to Reg'!B:C,2)</f>
        <v>sub-07</v>
      </c>
      <c r="D146" s="4" t="str">
        <f t="shared" si="1"/>
        <v>G13</v>
      </c>
    </row>
    <row r="147" spans="1:4" ht="16">
      <c r="A147" s="16" t="s">
        <v>577</v>
      </c>
      <c r="B147" s="4" t="str">
        <f t="shared" si="0"/>
        <v>743</v>
      </c>
      <c r="C147" s="4" t="str">
        <f>VLOOKUP(B147,'NYU to Reg'!B:C,2)</f>
        <v>sub-07</v>
      </c>
      <c r="D147" s="4" t="str">
        <f t="shared" si="1"/>
        <v>G19</v>
      </c>
    </row>
    <row r="148" spans="1:4" ht="16">
      <c r="A148" s="16" t="s">
        <v>578</v>
      </c>
      <c r="B148" s="4" t="str">
        <f t="shared" si="0"/>
        <v>743</v>
      </c>
      <c r="C148" s="4" t="str">
        <f>VLOOKUP(B148,'NYU to Reg'!B:C,2)</f>
        <v>sub-07</v>
      </c>
      <c r="D148" s="4" t="str">
        <f t="shared" si="1"/>
        <v>G44</v>
      </c>
    </row>
    <row r="149" spans="1:4" ht="16">
      <c r="A149" s="16" t="s">
        <v>579</v>
      </c>
      <c r="B149" s="4" t="str">
        <f t="shared" si="0"/>
        <v>743</v>
      </c>
      <c r="C149" s="4" t="str">
        <f>VLOOKUP(B149,'NYU to Reg'!B:C,2)</f>
        <v>sub-07</v>
      </c>
      <c r="D149" s="4" t="str">
        <f t="shared" si="1"/>
        <v>G45</v>
      </c>
    </row>
    <row r="150" spans="1:4" ht="16">
      <c r="A150" s="16" t="s">
        <v>580</v>
      </c>
      <c r="B150" s="4" t="str">
        <f t="shared" si="0"/>
        <v>743</v>
      </c>
      <c r="C150" s="4" t="str">
        <f>VLOOKUP(B150,'NYU to Reg'!B:C,2)</f>
        <v>sub-07</v>
      </c>
      <c r="D150" s="4" t="str">
        <f t="shared" si="1"/>
        <v>G46</v>
      </c>
    </row>
    <row r="151" spans="1:4" ht="16">
      <c r="A151" s="16" t="s">
        <v>581</v>
      </c>
      <c r="B151" s="4" t="str">
        <f t="shared" si="0"/>
        <v>743</v>
      </c>
      <c r="C151" s="4" t="str">
        <f>VLOOKUP(B151,'NYU to Reg'!B:C,2)</f>
        <v>sub-07</v>
      </c>
      <c r="D151" s="4" t="str">
        <f t="shared" si="1"/>
        <v>G47</v>
      </c>
    </row>
    <row r="152" spans="1:4" ht="16">
      <c r="A152" s="16" t="s">
        <v>582</v>
      </c>
      <c r="B152" s="4" t="str">
        <f t="shared" si="0"/>
        <v>743</v>
      </c>
      <c r="C152" s="4" t="str">
        <f>VLOOKUP(B152,'NYU to Reg'!B:C,2)</f>
        <v>sub-07</v>
      </c>
      <c r="D152" s="4" t="str">
        <f t="shared" si="1"/>
        <v>G53</v>
      </c>
    </row>
    <row r="153" spans="1:4" ht="16">
      <c r="A153" s="16" t="s">
        <v>583</v>
      </c>
      <c r="B153" s="4" t="str">
        <f t="shared" si="0"/>
        <v>743</v>
      </c>
      <c r="C153" s="4" t="str">
        <f>VLOOKUP(B153,'NYU to Reg'!B:C,2)</f>
        <v>sub-07</v>
      </c>
      <c r="D153" s="4" t="str">
        <f t="shared" si="1"/>
        <v>G54</v>
      </c>
    </row>
    <row r="154" spans="1:4" ht="16">
      <c r="A154" s="16" t="s">
        <v>584</v>
      </c>
      <c r="B154" s="4" t="str">
        <f t="shared" si="0"/>
        <v>763</v>
      </c>
      <c r="C154" s="4" t="str">
        <f>VLOOKUP(B154,'NYU to Reg'!B:C,2)</f>
        <v>sub-08</v>
      </c>
      <c r="D154" s="4" t="str">
        <f t="shared" si="1"/>
        <v>DAMT2</v>
      </c>
    </row>
    <row r="155" spans="1:4" ht="16">
      <c r="A155" s="16" t="s">
        <v>585</v>
      </c>
      <c r="B155" s="4" t="str">
        <f t="shared" si="0"/>
        <v>763</v>
      </c>
      <c r="C155" s="4" t="str">
        <f>VLOOKUP(B155,'NYU to Reg'!B:C,2)</f>
        <v>sub-08</v>
      </c>
      <c r="D155" s="4" t="str">
        <f t="shared" si="1"/>
        <v>DPI1</v>
      </c>
    </row>
    <row r="156" spans="1:4" ht="16">
      <c r="A156" s="16" t="s">
        <v>586</v>
      </c>
      <c r="B156" s="4" t="str">
        <f t="shared" si="0"/>
        <v>763</v>
      </c>
      <c r="C156" s="4" t="str">
        <f>VLOOKUP(B156,'NYU to Reg'!B:C,2)</f>
        <v>sub-08</v>
      </c>
      <c r="D156" s="4" t="str">
        <f t="shared" si="1"/>
        <v>G15</v>
      </c>
    </row>
    <row r="157" spans="1:4" ht="16">
      <c r="A157" s="16" t="s">
        <v>587</v>
      </c>
      <c r="B157" s="4" t="str">
        <f t="shared" si="0"/>
        <v>763</v>
      </c>
      <c r="C157" s="4" t="str">
        <f>VLOOKUP(B157,'NYU to Reg'!B:C,2)</f>
        <v>sub-08</v>
      </c>
      <c r="D157" s="4" t="str">
        <f t="shared" si="1"/>
        <v>G20</v>
      </c>
    </row>
    <row r="158" spans="1:4" ht="16">
      <c r="A158" s="16" t="s">
        <v>588</v>
      </c>
      <c r="B158" s="4" t="str">
        <f t="shared" si="0"/>
        <v>763</v>
      </c>
      <c r="C158" s="4" t="str">
        <f>VLOOKUP(B158,'NYU to Reg'!B:C,2)</f>
        <v>sub-08</v>
      </c>
      <c r="D158" s="4" t="str">
        <f t="shared" si="1"/>
        <v>G21</v>
      </c>
    </row>
    <row r="159" spans="1:4" ht="16">
      <c r="A159" s="16" t="s">
        <v>589</v>
      </c>
      <c r="B159" s="4" t="str">
        <f t="shared" si="0"/>
        <v>763</v>
      </c>
      <c r="C159" s="4" t="str">
        <f>VLOOKUP(B159,'NYU to Reg'!B:C,2)</f>
        <v>sub-08</v>
      </c>
      <c r="D159" s="4" t="str">
        <f t="shared" si="1"/>
        <v>G22</v>
      </c>
    </row>
    <row r="160" spans="1:4" ht="16">
      <c r="A160" s="16" t="s">
        <v>590</v>
      </c>
      <c r="B160" s="4" t="str">
        <f t="shared" si="0"/>
        <v>763</v>
      </c>
      <c r="C160" s="4" t="str">
        <f>VLOOKUP(B160,'NYU to Reg'!B:C,2)</f>
        <v>sub-08</v>
      </c>
      <c r="D160" s="4" t="str">
        <f t="shared" si="1"/>
        <v>G23</v>
      </c>
    </row>
    <row r="161" spans="1:4" ht="16">
      <c r="A161" s="16" t="s">
        <v>591</v>
      </c>
      <c r="B161" s="4" t="str">
        <f t="shared" si="0"/>
        <v>763</v>
      </c>
      <c r="C161" s="4" t="str">
        <f>VLOOKUP(B161,'NYU to Reg'!B:C,2)</f>
        <v>sub-08</v>
      </c>
      <c r="D161" s="4" t="str">
        <f t="shared" si="1"/>
        <v>G24</v>
      </c>
    </row>
    <row r="162" spans="1:4" ht="16">
      <c r="A162" s="16" t="s">
        <v>592</v>
      </c>
      <c r="B162" s="4" t="str">
        <f t="shared" si="0"/>
        <v>763</v>
      </c>
      <c r="C162" s="4" t="str">
        <f>VLOOKUP(B162,'NYU to Reg'!B:C,2)</f>
        <v>sub-08</v>
      </c>
      <c r="D162" s="4" t="str">
        <f t="shared" si="1"/>
        <v>G31</v>
      </c>
    </row>
    <row r="163" spans="1:4" ht="16">
      <c r="A163" s="16" t="s">
        <v>593</v>
      </c>
      <c r="B163" s="4" t="str">
        <f t="shared" si="0"/>
        <v>763</v>
      </c>
      <c r="C163" s="4" t="str">
        <f>VLOOKUP(B163,'NYU to Reg'!B:C,2)</f>
        <v>sub-08</v>
      </c>
      <c r="D163" s="4" t="str">
        <f t="shared" si="1"/>
        <v>G32</v>
      </c>
    </row>
    <row r="164" spans="1:4" ht="16">
      <c r="A164" s="16" t="s">
        <v>594</v>
      </c>
      <c r="B164" s="4" t="str">
        <f t="shared" si="0"/>
        <v>763</v>
      </c>
      <c r="C164" s="4" t="str">
        <f>VLOOKUP(B164,'NYU to Reg'!B:C,2)</f>
        <v>sub-08</v>
      </c>
      <c r="D164" s="4" t="str">
        <f t="shared" si="1"/>
        <v>G36</v>
      </c>
    </row>
    <row r="165" spans="1:4" ht="16">
      <c r="A165" s="16" t="s">
        <v>595</v>
      </c>
      <c r="B165" s="4" t="str">
        <f t="shared" si="0"/>
        <v>763</v>
      </c>
      <c r="C165" s="4" t="str">
        <f>VLOOKUP(B165,'NYU to Reg'!B:C,2)</f>
        <v>sub-08</v>
      </c>
      <c r="D165" s="4" t="str">
        <f t="shared" si="1"/>
        <v>G44</v>
      </c>
    </row>
    <row r="166" spans="1:4" ht="16">
      <c r="A166" s="16" t="s">
        <v>596</v>
      </c>
      <c r="B166" s="4" t="str">
        <f t="shared" si="0"/>
        <v>763</v>
      </c>
      <c r="C166" s="4" t="str">
        <f>VLOOKUP(B166,'NYU to Reg'!B:C,2)</f>
        <v>sub-08</v>
      </c>
      <c r="D166" s="4" t="str">
        <f t="shared" si="1"/>
        <v>G7</v>
      </c>
    </row>
    <row r="167" spans="1:4" ht="16">
      <c r="A167" s="16" t="s">
        <v>597</v>
      </c>
      <c r="B167" s="4" t="str">
        <f t="shared" si="0"/>
        <v>798</v>
      </c>
      <c r="C167" s="4" t="str">
        <f>VLOOKUP(B167,'NYU to Reg'!B:C,2)</f>
        <v>sub-09</v>
      </c>
      <c r="D167" s="4" t="str">
        <f t="shared" si="1"/>
        <v>AF6</v>
      </c>
    </row>
    <row r="168" spans="1:4" ht="16">
      <c r="A168" s="16" t="s">
        <v>598</v>
      </c>
      <c r="B168" s="4" t="str">
        <f t="shared" si="0"/>
        <v>798</v>
      </c>
      <c r="C168" s="4" t="str">
        <f>VLOOKUP(B168,'NYU to Reg'!B:C,2)</f>
        <v>sub-09</v>
      </c>
      <c r="D168" s="4" t="str">
        <f t="shared" si="1"/>
        <v>AIT3</v>
      </c>
    </row>
    <row r="169" spans="1:4" ht="16">
      <c r="A169" s="16" t="s">
        <v>599</v>
      </c>
      <c r="B169" s="4" t="str">
        <f t="shared" si="0"/>
        <v>798</v>
      </c>
      <c r="C169" s="4" t="str">
        <f>VLOOKUP(B169,'NYU to Reg'!B:C,2)</f>
        <v>sub-09</v>
      </c>
      <c r="D169" s="4" t="str">
        <f t="shared" si="1"/>
        <v>AIT4</v>
      </c>
    </row>
    <row r="170" spans="1:4" ht="16">
      <c r="A170" s="16" t="s">
        <v>600</v>
      </c>
      <c r="B170" s="4" t="str">
        <f t="shared" si="0"/>
        <v>798</v>
      </c>
      <c r="C170" s="4" t="str">
        <f>VLOOKUP(B170,'NYU to Reg'!B:C,2)</f>
        <v>sub-09</v>
      </c>
      <c r="D170" s="4" t="str">
        <f t="shared" si="1"/>
        <v>DPI2</v>
      </c>
    </row>
    <row r="171" spans="1:4" ht="16">
      <c r="A171" s="16" t="s">
        <v>601</v>
      </c>
      <c r="B171" s="4" t="str">
        <f t="shared" si="0"/>
        <v>798</v>
      </c>
      <c r="C171" s="4" t="str">
        <f>VLOOKUP(B171,'NYU to Reg'!B:C,2)</f>
        <v>sub-09</v>
      </c>
      <c r="D171" s="4" t="str">
        <f t="shared" si="1"/>
        <v>DPI3</v>
      </c>
    </row>
    <row r="172" spans="1:4" ht="16">
      <c r="A172" s="16" t="s">
        <v>602</v>
      </c>
      <c r="B172" s="4" t="str">
        <f t="shared" si="0"/>
        <v>798</v>
      </c>
      <c r="C172" s="4" t="str">
        <f>VLOOKUP(B172,'NYU to Reg'!B:C,2)</f>
        <v>sub-09</v>
      </c>
      <c r="D172" s="4" t="str">
        <f t="shared" si="1"/>
        <v>G10</v>
      </c>
    </row>
    <row r="173" spans="1:4" ht="16">
      <c r="A173" s="16" t="s">
        <v>603</v>
      </c>
      <c r="B173" s="4" t="str">
        <f t="shared" si="0"/>
        <v>798</v>
      </c>
      <c r="C173" s="4" t="str">
        <f>VLOOKUP(B173,'NYU to Reg'!B:C,2)</f>
        <v>sub-09</v>
      </c>
      <c r="D173" s="4" t="str">
        <f t="shared" si="1"/>
        <v>G12</v>
      </c>
    </row>
    <row r="174" spans="1:4" ht="16">
      <c r="A174" s="16" t="s">
        <v>604</v>
      </c>
      <c r="B174" s="4" t="str">
        <f t="shared" si="0"/>
        <v>798</v>
      </c>
      <c r="C174" s="4" t="str">
        <f>VLOOKUP(B174,'NYU to Reg'!B:C,2)</f>
        <v>sub-09</v>
      </c>
      <c r="D174" s="4" t="str">
        <f t="shared" si="1"/>
        <v>G15</v>
      </c>
    </row>
    <row r="175" spans="1:4" ht="16">
      <c r="A175" s="16" t="s">
        <v>605</v>
      </c>
      <c r="B175" s="4" t="str">
        <f t="shared" si="0"/>
        <v>798</v>
      </c>
      <c r="C175" s="4" t="str">
        <f>VLOOKUP(B175,'NYU to Reg'!B:C,2)</f>
        <v>sub-09</v>
      </c>
      <c r="D175" s="4" t="str">
        <f t="shared" si="1"/>
        <v>G16</v>
      </c>
    </row>
    <row r="176" spans="1:4" ht="16">
      <c r="A176" s="16" t="s">
        <v>606</v>
      </c>
      <c r="B176" s="4" t="str">
        <f t="shared" si="0"/>
        <v>798</v>
      </c>
      <c r="C176" s="4" t="str">
        <f>VLOOKUP(B176,'NYU to Reg'!B:C,2)</f>
        <v>sub-09</v>
      </c>
      <c r="D176" s="4" t="str">
        <f t="shared" si="1"/>
        <v>G17</v>
      </c>
    </row>
    <row r="177" spans="1:4" ht="16">
      <c r="A177" s="16" t="s">
        <v>607</v>
      </c>
      <c r="B177" s="4" t="str">
        <f t="shared" si="0"/>
        <v>798</v>
      </c>
      <c r="C177" s="4" t="str">
        <f>VLOOKUP(B177,'NYU to Reg'!B:C,2)</f>
        <v>sub-09</v>
      </c>
      <c r="D177" s="4" t="str">
        <f t="shared" si="1"/>
        <v>G18</v>
      </c>
    </row>
    <row r="178" spans="1:4" ht="16">
      <c r="A178" s="16" t="s">
        <v>608</v>
      </c>
      <c r="B178" s="4" t="str">
        <f t="shared" si="0"/>
        <v>798</v>
      </c>
      <c r="C178" s="4" t="str">
        <f>VLOOKUP(B178,'NYU to Reg'!B:C,2)</f>
        <v>sub-09</v>
      </c>
      <c r="D178" s="4" t="str">
        <f t="shared" si="1"/>
        <v>G19</v>
      </c>
    </row>
    <row r="179" spans="1:4" ht="16">
      <c r="A179" s="16" t="s">
        <v>609</v>
      </c>
      <c r="B179" s="4" t="str">
        <f t="shared" si="0"/>
        <v>798</v>
      </c>
      <c r="C179" s="4" t="str">
        <f>VLOOKUP(B179,'NYU to Reg'!B:C,2)</f>
        <v>sub-09</v>
      </c>
      <c r="D179" s="4" t="str">
        <f t="shared" si="1"/>
        <v>G26</v>
      </c>
    </row>
    <row r="180" spans="1:4" ht="16">
      <c r="A180" s="16" t="s">
        <v>610</v>
      </c>
      <c r="B180" s="4" t="str">
        <f t="shared" si="0"/>
        <v>798</v>
      </c>
      <c r="C180" s="4" t="str">
        <f>VLOOKUP(B180,'NYU to Reg'!B:C,2)</f>
        <v>sub-09</v>
      </c>
      <c r="D180" s="4" t="str">
        <f t="shared" si="1"/>
        <v>G27</v>
      </c>
    </row>
    <row r="181" spans="1:4" ht="16">
      <c r="A181" s="16" t="s">
        <v>611</v>
      </c>
      <c r="B181" s="4" t="str">
        <f t="shared" si="0"/>
        <v>798</v>
      </c>
      <c r="C181" s="4" t="str">
        <f>VLOOKUP(B181,'NYU to Reg'!B:C,2)</f>
        <v>sub-09</v>
      </c>
      <c r="D181" s="4" t="str">
        <f t="shared" si="1"/>
        <v>G4</v>
      </c>
    </row>
    <row r="182" spans="1:4" ht="16">
      <c r="A182" s="16" t="s">
        <v>612</v>
      </c>
      <c r="B182" s="4" t="str">
        <f t="shared" si="0"/>
        <v>798</v>
      </c>
      <c r="C182" s="4" t="str">
        <f>VLOOKUP(B182,'NYU to Reg'!B:C,2)</f>
        <v>sub-09</v>
      </c>
      <c r="D182" s="4" t="str">
        <f t="shared" si="1"/>
        <v>G5</v>
      </c>
    </row>
    <row r="183" spans="1:4" ht="16">
      <c r="A183" s="16" t="s">
        <v>613</v>
      </c>
      <c r="B183" s="4" t="str">
        <f t="shared" si="0"/>
        <v>798</v>
      </c>
      <c r="C183" s="4" t="str">
        <f>VLOOKUP(B183,'NYU to Reg'!B:C,2)</f>
        <v>sub-09</v>
      </c>
      <c r="D183" s="4" t="str">
        <f t="shared" si="1"/>
        <v>G55</v>
      </c>
    </row>
    <row r="184" spans="1:4" ht="16">
      <c r="A184" s="16" t="s">
        <v>614</v>
      </c>
      <c r="B184" s="4" t="str">
        <f t="shared" si="0"/>
        <v>798</v>
      </c>
      <c r="C184" s="4" t="str">
        <f>VLOOKUP(B184,'NYU to Reg'!B:C,2)</f>
        <v>sub-09</v>
      </c>
      <c r="D184" s="4" t="str">
        <f t="shared" si="1"/>
        <v>G56</v>
      </c>
    </row>
    <row r="185" spans="1:4" ht="16">
      <c r="A185" s="16" t="s">
        <v>615</v>
      </c>
      <c r="B185" s="4" t="str">
        <f t="shared" si="0"/>
        <v>798</v>
      </c>
      <c r="C185" s="4" t="str">
        <f>VLOOKUP(B185,'NYU to Reg'!B:C,2)</f>
        <v>sub-09</v>
      </c>
      <c r="D185" s="4" t="str">
        <f t="shared" si="1"/>
        <v>G6</v>
      </c>
    </row>
    <row r="186" spans="1:4" ht="16">
      <c r="A186" s="16" t="s">
        <v>616</v>
      </c>
      <c r="B186" s="4" t="str">
        <f t="shared" si="0"/>
        <v>798</v>
      </c>
      <c r="C186" s="4" t="str">
        <f>VLOOKUP(B186,'NYU to Reg'!B:C,2)</f>
        <v>sub-09</v>
      </c>
      <c r="D186" s="4" t="str">
        <f t="shared" si="1"/>
        <v>G63</v>
      </c>
    </row>
    <row r="187" spans="1:4" ht="16">
      <c r="A187" s="16" t="s">
        <v>617</v>
      </c>
      <c r="B187" s="4" t="str">
        <f t="shared" si="0"/>
        <v>798</v>
      </c>
      <c r="C187" s="4" t="str">
        <f>VLOOKUP(B187,'NYU to Reg'!B:C,2)</f>
        <v>sub-09</v>
      </c>
      <c r="D187" s="4" t="str">
        <f t="shared" si="1"/>
        <v>G66</v>
      </c>
    </row>
    <row r="188" spans="1:4" ht="16">
      <c r="A188" s="16" t="s">
        <v>618</v>
      </c>
      <c r="B188" s="4" t="str">
        <f t="shared" si="0"/>
        <v>798</v>
      </c>
      <c r="C188" s="4" t="str">
        <f>VLOOKUP(B188,'NYU to Reg'!B:C,2)</f>
        <v>sub-09</v>
      </c>
      <c r="D188" s="4" t="str">
        <f t="shared" si="1"/>
        <v>G67</v>
      </c>
    </row>
    <row r="189" spans="1:4" ht="16">
      <c r="A189" s="16" t="s">
        <v>619</v>
      </c>
      <c r="B189" s="4" t="str">
        <f t="shared" si="0"/>
        <v>798</v>
      </c>
      <c r="C189" s="4" t="str">
        <f>VLOOKUP(B189,'NYU to Reg'!B:C,2)</f>
        <v>sub-09</v>
      </c>
      <c r="D189" s="4" t="str">
        <f t="shared" si="1"/>
        <v>G77</v>
      </c>
    </row>
    <row r="190" spans="1:4" ht="16">
      <c r="A190" s="16" t="s">
        <v>620</v>
      </c>
      <c r="B190" s="4" t="str">
        <f t="shared" si="0"/>
        <v>798</v>
      </c>
      <c r="C190" s="4" t="str">
        <f>VLOOKUP(B190,'NYU to Reg'!B:C,2)</f>
        <v>sub-09</v>
      </c>
      <c r="D190" s="4" t="str">
        <f t="shared" si="1"/>
        <v>G79</v>
      </c>
    </row>
    <row r="191" spans="1:4" ht="16">
      <c r="A191" s="16" t="s">
        <v>621</v>
      </c>
      <c r="B191" s="4" t="str">
        <f t="shared" si="0"/>
        <v>798</v>
      </c>
      <c r="C191" s="4" t="str">
        <f>VLOOKUP(B191,'NYU to Reg'!B:C,2)</f>
        <v>sub-09</v>
      </c>
      <c r="D191" s="4" t="str">
        <f t="shared" si="1"/>
        <v>G8</v>
      </c>
    </row>
    <row r="192" spans="1:4" ht="16">
      <c r="A192" s="16" t="s">
        <v>622</v>
      </c>
      <c r="B192" s="4" t="str">
        <f t="shared" si="0"/>
        <v>798</v>
      </c>
      <c r="C192" s="4" t="str">
        <f>VLOOKUP(B192,'NYU to Reg'!B:C,2)</f>
        <v>sub-09</v>
      </c>
      <c r="D192" s="4" t="str">
        <f t="shared" si="1"/>
        <v>G81</v>
      </c>
    </row>
    <row r="193" spans="1:4" ht="16">
      <c r="A193" s="16" t="s">
        <v>623</v>
      </c>
      <c r="B193" s="4" t="str">
        <f t="shared" si="0"/>
        <v>798</v>
      </c>
      <c r="C193" s="4" t="str">
        <f>VLOOKUP(B193,'NYU to Reg'!B:C,2)</f>
        <v>sub-09</v>
      </c>
      <c r="D193" s="4" t="str">
        <f t="shared" si="1"/>
        <v>G82</v>
      </c>
    </row>
    <row r="194" spans="1:4" ht="16">
      <c r="A194" s="16" t="s">
        <v>624</v>
      </c>
      <c r="B194" s="4" t="str">
        <f t="shared" si="0"/>
        <v>798</v>
      </c>
      <c r="C194" s="4" t="str">
        <f>VLOOKUP(B194,'NYU to Reg'!B:C,2)</f>
        <v>sub-09</v>
      </c>
      <c r="D194" s="4" t="str">
        <f t="shared" si="1"/>
        <v>G83</v>
      </c>
    </row>
    <row r="195" spans="1:4" ht="16">
      <c r="A195" s="16" t="s">
        <v>625</v>
      </c>
      <c r="B195" s="4" t="str">
        <f t="shared" si="0"/>
        <v>798</v>
      </c>
      <c r="C195" s="4" t="str">
        <f>VLOOKUP(B195,'NYU to Reg'!B:C,2)</f>
        <v>sub-09</v>
      </c>
      <c r="D195" s="4" t="str">
        <f t="shared" si="1"/>
        <v>G84</v>
      </c>
    </row>
    <row r="196" spans="1:4" ht="16">
      <c r="A196" s="16" t="s">
        <v>626</v>
      </c>
      <c r="B196" s="4" t="str">
        <f t="shared" si="0"/>
        <v>798</v>
      </c>
      <c r="C196" s="4" t="str">
        <f>VLOOKUP(B196,'NYU to Reg'!B:C,2)</f>
        <v>sub-09</v>
      </c>
      <c r="D196" s="4" t="str">
        <f t="shared" si="1"/>
        <v>G86</v>
      </c>
    </row>
    <row r="197" spans="1:4" ht="16">
      <c r="A197" s="16" t="s">
        <v>627</v>
      </c>
      <c r="B197" s="4" t="str">
        <f t="shared" si="0"/>
        <v>798</v>
      </c>
      <c r="C197" s="4" t="str">
        <f>VLOOKUP(B197,'NYU to Reg'!B:C,2)</f>
        <v>sub-09</v>
      </c>
      <c r="D197" s="4" t="str">
        <f t="shared" si="1"/>
        <v>G87</v>
      </c>
    </row>
    <row r="198" spans="1:4" ht="16">
      <c r="A198" s="16" t="s">
        <v>628</v>
      </c>
      <c r="B198" s="4" t="str">
        <f t="shared" si="0"/>
        <v>798</v>
      </c>
      <c r="C198" s="4" t="str">
        <f>VLOOKUP(B198,'NYU to Reg'!B:C,2)</f>
        <v>sub-09</v>
      </c>
      <c r="D198" s="4" t="str">
        <f t="shared" si="1"/>
        <v>G88</v>
      </c>
    </row>
    <row r="199" spans="1:4" ht="16">
      <c r="A199" s="16" t="s">
        <v>629</v>
      </c>
      <c r="B199" s="4" t="str">
        <f t="shared" si="0"/>
        <v>798</v>
      </c>
      <c r="C199" s="4" t="str">
        <f>VLOOKUP(B199,'NYU to Reg'!B:C,2)</f>
        <v>sub-09</v>
      </c>
      <c r="D199" s="4" t="str">
        <f t="shared" si="1"/>
        <v>G92</v>
      </c>
    </row>
    <row r="200" spans="1:4" ht="16">
      <c r="A200" s="16" t="s">
        <v>630</v>
      </c>
      <c r="B200" s="4" t="str">
        <f t="shared" si="0"/>
        <v>798</v>
      </c>
      <c r="C200" s="4" t="str">
        <f>VLOOKUP(B200,'NYU to Reg'!B:C,2)</f>
        <v>sub-09</v>
      </c>
      <c r="D200" s="4" t="str">
        <f t="shared" si="1"/>
        <v>G93</v>
      </c>
    </row>
    <row r="201" spans="1:4" ht="16">
      <c r="A201" s="16" t="s">
        <v>631</v>
      </c>
      <c r="B201" s="4" t="str">
        <f t="shared" si="0"/>
        <v>798</v>
      </c>
      <c r="C201" s="4" t="str">
        <f>VLOOKUP(B201,'NYU to Reg'!B:C,2)</f>
        <v>sub-09</v>
      </c>
      <c r="D201" s="4" t="str">
        <f t="shared" si="1"/>
        <v>G94</v>
      </c>
    </row>
    <row r="202" spans="1:4" ht="16">
      <c r="A202" s="16" t="s">
        <v>632</v>
      </c>
      <c r="B202" s="4" t="str">
        <f t="shared" si="0"/>
        <v>798</v>
      </c>
      <c r="C202" s="4" t="str">
        <f>VLOOKUP(B202,'NYU to Reg'!B:C,2)</f>
        <v>sub-09</v>
      </c>
      <c r="D202" s="4" t="str">
        <f t="shared" si="1"/>
        <v>G95</v>
      </c>
    </row>
    <row r="203" spans="1:4" ht="16">
      <c r="A203" s="16" t="s">
        <v>633</v>
      </c>
      <c r="B203" s="4" t="str">
        <f t="shared" si="0"/>
        <v>798</v>
      </c>
      <c r="C203" s="4" t="str">
        <f>VLOOKUP(B203,'NYU to Reg'!B:C,2)</f>
        <v>sub-09</v>
      </c>
      <c r="D203" s="4" t="str">
        <f t="shared" si="1"/>
        <v>G96</v>
      </c>
    </row>
    <row r="204" spans="1:4" ht="16">
      <c r="A204" s="16" t="s">
        <v>634</v>
      </c>
      <c r="B204" s="4" t="str">
        <f t="shared" si="0"/>
        <v>798</v>
      </c>
      <c r="C204" s="4" t="str">
        <f>VLOOKUP(B204,'NYU to Reg'!B:C,2)</f>
        <v>sub-09</v>
      </c>
      <c r="D204" s="4" t="str">
        <f t="shared" si="1"/>
        <v>O3</v>
      </c>
    </row>
    <row r="205" spans="1:4" ht="16">
      <c r="A205" s="16" t="s">
        <v>635</v>
      </c>
      <c r="B205" s="4" t="str">
        <f t="shared" si="0"/>
        <v>798</v>
      </c>
      <c r="C205" s="4" t="str">
        <f>VLOOKUP(B205,'NYU to Reg'!B:C,2)</f>
        <v>sub-09</v>
      </c>
      <c r="D205" s="4" t="str">
        <f t="shared" si="1"/>
        <v>O4</v>
      </c>
    </row>
    <row r="206" spans="1:4" ht="16">
      <c r="A206" s="16" t="s">
        <v>636</v>
      </c>
      <c r="B206" s="4" t="str">
        <f t="shared" si="0"/>
        <v>798</v>
      </c>
      <c r="C206" s="4" t="str">
        <f>VLOOKUP(B206,'NYU to Reg'!B:C,2)</f>
        <v>sub-09</v>
      </c>
      <c r="D206" s="4" t="str">
        <f t="shared" si="1"/>
        <v>O6</v>
      </c>
    </row>
    <row r="207" spans="1:4" ht="16">
      <c r="A207" s="16" t="s">
        <v>637</v>
      </c>
      <c r="B207" s="4" t="str">
        <f t="shared" si="0"/>
        <v>798</v>
      </c>
      <c r="C207" s="4" t="str">
        <f>VLOOKUP(B207,'NYU to Reg'!B:C,2)</f>
        <v>sub-09</v>
      </c>
      <c r="D207" s="4" t="str">
        <f t="shared" si="1"/>
        <v>O7</v>
      </c>
    </row>
    <row r="208" spans="1:4" ht="16">
      <c r="A208" s="16" t="s">
        <v>638</v>
      </c>
      <c r="B208" s="4" t="str">
        <f t="shared" si="0"/>
        <v>798</v>
      </c>
      <c r="C208" s="4" t="str">
        <f>VLOOKUP(B208,'NYU to Reg'!B:C,2)</f>
        <v>sub-09</v>
      </c>
      <c r="D208" s="4" t="str">
        <f t="shared" si="1"/>
        <v>O8</v>
      </c>
    </row>
    <row r="209" spans="1:4" ht="16">
      <c r="A209" s="16" t="s">
        <v>639</v>
      </c>
      <c r="B209" s="4" t="str">
        <f t="shared" si="0"/>
        <v>798</v>
      </c>
      <c r="C209" s="4" t="str">
        <f>VLOOKUP(B209,'NYU to Reg'!B:C,2)</f>
        <v>sub-09</v>
      </c>
      <c r="D209" s="4" t="str">
        <f t="shared" si="1"/>
        <v>SF2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tagging</vt:lpstr>
      <vt:lpstr>NYU to Reg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Yahli Zamero</cp:lastModifiedBy>
  <dcterms:created xsi:type="dcterms:W3CDTF">2026-06-04T12:52:40Z</dcterms:created>
  <dcterms:modified xsi:type="dcterms:W3CDTF">2026-06-04T12:52:40Z</dcterms:modified>
</cp:coreProperties>
</file>